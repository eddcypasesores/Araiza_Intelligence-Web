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uxiliar 4\Downloads\"/>
    </mc:Choice>
  </mc:AlternateContent>
  <xr:revisionPtr revIDLastSave="0" documentId="13_ncr:1_{FF172A48-C700-4D5C-9344-6E25304712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" l="1"/>
  <c r="I27" i="1"/>
  <c r="O34" i="1"/>
  <c r="I34" i="1"/>
  <c r="O15" i="1"/>
  <c r="O23" i="1"/>
  <c r="I15" i="1"/>
  <c r="I23" i="1"/>
  <c r="C23" i="1"/>
  <c r="C15" i="1"/>
  <c r="C37" i="1"/>
  <c r="C34" i="1"/>
  <c r="I13" i="1"/>
  <c r="O13" i="1" s="1"/>
  <c r="C13" i="1"/>
  <c r="I37" i="1"/>
  <c r="O37" i="1" s="1"/>
</calcChain>
</file>

<file path=xl/sharedStrings.xml><?xml version="1.0" encoding="utf-8"?>
<sst xmlns="http://schemas.openxmlformats.org/spreadsheetml/2006/main" count="39" uniqueCount="24">
  <si>
    <t>PÉRDIDAS FISCALES DE EJERCICIOS ANTERIORES</t>
  </si>
  <si>
    <t xml:space="preserve">DECLARACION ANUAL </t>
  </si>
  <si>
    <t>LÍMITE DE PÉRDIDAS A APLICAR</t>
  </si>
  <si>
    <t xml:space="preserve">MONTO POR APLICAR </t>
  </si>
  <si>
    <t>ORIGEN DE LA PÉRDIDA PÉRDIDA</t>
  </si>
  <si>
    <t xml:space="preserve">RFC ESCINDENTE </t>
  </si>
  <si>
    <t>AÑO EN QUE SE GENERÓ LA PÉRDIDA</t>
  </si>
  <si>
    <t>PÉRDIDAS PENDIENTES DE APLICAR</t>
  </si>
  <si>
    <t>PÉRDIDA FISCAL ACTUALIZADA</t>
  </si>
  <si>
    <t>POR APLICAR EN ESTE EJERCICIO</t>
  </si>
  <si>
    <t>REMANENTE</t>
  </si>
  <si>
    <t>PROPIA</t>
  </si>
  <si>
    <t>PRIMERA ACTUALIZACIÓN</t>
  </si>
  <si>
    <t>SEGUNDA ACTUALIZACIÓN</t>
  </si>
  <si>
    <t xml:space="preserve">AÑO DEL EJERCICIO ANTERIOR </t>
  </si>
  <si>
    <t>INPC DEL ÚLTIMO MES DEL EJERCICIO EN EL QUE SE GENERÓ LA PÉRDIDA/MES</t>
  </si>
  <si>
    <t>INPC DEL ÚLTIMO MES DEL EJERCICIO EN EL QUE SE GENERÓ LA PÉRDIDA/INPC</t>
  </si>
  <si>
    <t>INPC DEL PRIMER MES DE LA SEGUNDA MITAD DEL EJERCICIO EN EL QUE SE GENERÓ LA PÉRDIDA/MES</t>
  </si>
  <si>
    <t>INPC DEL PRIMER MES DE LA SEGUNDA MITAD DEL EJERCICIO EN EL QUE SE GENERÓ LA PÉRDIDA/INPC</t>
  </si>
  <si>
    <t>FACTOR DE ACTUALIZACIÓN DEL PERIODO</t>
  </si>
  <si>
    <t>PÉRDIDA ACTUALIZADA</t>
  </si>
  <si>
    <t>TERCERA ACTUALIZACIÓN</t>
  </si>
  <si>
    <t>INPC DEL ÚLTIMO MES DE LA PRIMERA MITAD DEL EJERCICIO</t>
  </si>
  <si>
    <t>INPC DEL ULTIMO MES DE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</si>
</sst>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64" fontId="0" fillId="0" borderId="2" xfId="0" applyNumberFormat="1" applyBorder="1"/>
    <xf numFmtId="3" fontId="0" fillId="0" borderId="2" xfId="0" applyNumberFormat="1" applyBorder="1"/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justify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showGridLines="0" tabSelected="1" zoomScale="73" zoomScaleNormal="73" workbookViewId="0">
      <selection activeCell="K26" sqref="K26"/>
    </sheetView>
  </sheetViews>
  <sheetFormatPr baseColWidth="10" defaultRowHeight="13.2" customHeight="1" x14ac:dyDescent="0.3"/>
  <cols>
    <col min="1" max="1" width="26.6640625" customWidth="1"/>
    <col min="2" max="2" width="1.77734375" customWidth="1"/>
    <col min="3" max="3" width="23.109375" customWidth="1"/>
    <col min="4" max="4" width="1.21875" customWidth="1"/>
    <col min="5" max="5" width="23" customWidth="1"/>
    <col min="6" max="6" width="1.21875" customWidth="1"/>
    <col min="7" max="7" width="26.88671875" customWidth="1"/>
    <col min="8" max="8" width="1.21875" customWidth="1"/>
    <col min="9" max="9" width="23" customWidth="1"/>
    <col min="10" max="10" width="1.21875" customWidth="1"/>
    <col min="11" max="11" width="23" customWidth="1"/>
    <col min="12" max="12" width="1.21875" customWidth="1"/>
    <col min="13" max="13" width="28.33203125" bestFit="1" customWidth="1"/>
    <col min="14" max="14" width="1.21875" customWidth="1"/>
    <col min="15" max="15" width="17.21875" customWidth="1"/>
  </cols>
  <sheetData>
    <row r="1" spans="1:15" ht="23.25" customHeight="1" thickBot="1" x14ac:dyDescent="0.4">
      <c r="A1" s="1" t="s">
        <v>0</v>
      </c>
      <c r="B1" s="1"/>
      <c r="D1" s="1"/>
      <c r="F1" s="1"/>
      <c r="H1" s="1"/>
      <c r="J1" s="1"/>
      <c r="K1" s="1" t="s">
        <v>1</v>
      </c>
      <c r="L1" s="1"/>
      <c r="M1" s="8">
        <v>2021</v>
      </c>
    </row>
    <row r="3" spans="1:15" ht="13.2" customHeight="1" x14ac:dyDescent="0.3">
      <c r="A3" t="s">
        <v>2</v>
      </c>
      <c r="C3" s="2">
        <v>50000</v>
      </c>
    </row>
    <row r="5" spans="1:15" ht="13.2" customHeight="1" x14ac:dyDescent="0.3">
      <c r="A5" t="s">
        <v>3</v>
      </c>
      <c r="C5" s="2"/>
    </row>
    <row r="7" spans="1:15" s="4" customFormat="1" ht="13.2" customHeight="1" x14ac:dyDescent="0.3">
      <c r="A7" s="3" t="s">
        <v>4</v>
      </c>
      <c r="B7" s="3"/>
      <c r="C7" s="3" t="s">
        <v>5</v>
      </c>
      <c r="D7" s="3"/>
      <c r="E7" s="3" t="s">
        <v>6</v>
      </c>
      <c r="F7" s="3"/>
      <c r="G7" s="3" t="s">
        <v>7</v>
      </c>
      <c r="H7" s="3"/>
      <c r="I7" s="3" t="s">
        <v>8</v>
      </c>
      <c r="J7" s="3"/>
      <c r="K7" s="3" t="s">
        <v>9</v>
      </c>
      <c r="L7" s="3"/>
      <c r="M7" s="3" t="s">
        <v>10</v>
      </c>
    </row>
    <row r="9" spans="1:15" ht="13.2" customHeight="1" x14ac:dyDescent="0.3">
      <c r="A9" s="2" t="s">
        <v>11</v>
      </c>
      <c r="C9" s="2"/>
      <c r="E9" s="2">
        <v>2015</v>
      </c>
      <c r="G9" s="6">
        <v>31177.00770379688</v>
      </c>
      <c r="I9" s="6">
        <v>33009.781031709033</v>
      </c>
      <c r="K9" s="6">
        <v>33009.781031709033</v>
      </c>
      <c r="M9" s="6">
        <v>0</v>
      </c>
    </row>
    <row r="11" spans="1:15" ht="13.2" customHeight="1" x14ac:dyDescent="0.3">
      <c r="A11" s="1" t="s">
        <v>12</v>
      </c>
      <c r="G11" s="1" t="s">
        <v>13</v>
      </c>
      <c r="M11" s="1" t="s">
        <v>21</v>
      </c>
    </row>
    <row r="13" spans="1:15" ht="13.2" customHeight="1" x14ac:dyDescent="0.3">
      <c r="A13" t="s">
        <v>14</v>
      </c>
      <c r="C13" s="2">
        <f>+E9</f>
        <v>2015</v>
      </c>
      <c r="G13" t="s">
        <v>14</v>
      </c>
      <c r="I13" s="2">
        <f>+C13+1</f>
        <v>2016</v>
      </c>
      <c r="M13" t="s">
        <v>14</v>
      </c>
      <c r="O13" s="2">
        <f>+I13+1</f>
        <v>2017</v>
      </c>
    </row>
    <row r="15" spans="1:15" ht="13.2" customHeight="1" x14ac:dyDescent="0.3">
      <c r="A15" s="9" t="s">
        <v>15</v>
      </c>
      <c r="C15" s="2" t="str">
        <f>CONCATENATE("DICIEMBRE/",E9)</f>
        <v>DICIEMBRE/2015</v>
      </c>
      <c r="G15" s="9" t="s">
        <v>22</v>
      </c>
      <c r="I15" s="2" t="str">
        <f>CONCATENATE("JUNIO/",I13)</f>
        <v>JUNIO/2016</v>
      </c>
      <c r="M15" s="9" t="s">
        <v>22</v>
      </c>
      <c r="O15" s="2" t="str">
        <f>CONCATENATE("JUNIO/",O13)</f>
        <v>JUNIO/2017</v>
      </c>
    </row>
    <row r="16" spans="1:15" ht="13.2" customHeight="1" x14ac:dyDescent="0.3">
      <c r="A16" s="10"/>
      <c r="G16" s="9"/>
      <c r="M16" s="9"/>
    </row>
    <row r="17" spans="1:15" ht="13.2" customHeight="1" x14ac:dyDescent="0.3">
      <c r="A17" s="10"/>
      <c r="G17" s="9"/>
      <c r="M17" s="9"/>
    </row>
    <row r="19" spans="1:15" ht="13.2" customHeight="1" x14ac:dyDescent="0.3">
      <c r="A19" s="9" t="s">
        <v>16</v>
      </c>
      <c r="C19" s="2">
        <v>89.046999999999997</v>
      </c>
      <c r="G19" s="9" t="s">
        <v>16</v>
      </c>
      <c r="I19" s="2">
        <v>134.59399999999999</v>
      </c>
      <c r="M19" s="9" t="s">
        <v>16</v>
      </c>
      <c r="O19" s="2">
        <v>134.59399999999999</v>
      </c>
    </row>
    <row r="20" spans="1:15" ht="13.2" customHeight="1" x14ac:dyDescent="0.3">
      <c r="A20" s="10"/>
      <c r="G20" s="10"/>
      <c r="M20" s="9"/>
    </row>
    <row r="21" spans="1:15" ht="13.2" customHeight="1" x14ac:dyDescent="0.3">
      <c r="A21" s="10"/>
      <c r="G21" s="10"/>
      <c r="M21" s="9"/>
    </row>
    <row r="23" spans="1:15" ht="13.2" customHeight="1" x14ac:dyDescent="0.3">
      <c r="A23" s="9" t="s">
        <v>17</v>
      </c>
      <c r="C23" s="2" t="str">
        <f>CONCATENATE("JULIO/",E9)</f>
        <v>JULIO/2015</v>
      </c>
      <c r="G23" s="9" t="s">
        <v>23</v>
      </c>
      <c r="I23" s="2" t="str">
        <f>+C15</f>
        <v>DICIEMBRE/2015</v>
      </c>
      <c r="M23" s="9" t="s">
        <v>23</v>
      </c>
      <c r="O23" s="2" t="str">
        <f>+I15</f>
        <v>JUNIO/2016</v>
      </c>
    </row>
    <row r="24" spans="1:15" ht="13.2" customHeight="1" x14ac:dyDescent="0.3">
      <c r="A24" s="10"/>
      <c r="G24" s="10"/>
      <c r="M24" s="10"/>
    </row>
    <row r="25" spans="1:15" ht="13.2" customHeight="1" x14ac:dyDescent="0.3">
      <c r="A25" s="10"/>
      <c r="G25" s="10"/>
      <c r="M25" s="10"/>
    </row>
    <row r="27" spans="1:15" ht="13.2" customHeight="1" x14ac:dyDescent="0.3">
      <c r="A27" s="9" t="s">
        <v>18</v>
      </c>
      <c r="C27" s="2">
        <v>128.83199999999999</v>
      </c>
      <c r="G27" s="9" t="s">
        <v>18</v>
      </c>
      <c r="I27" s="2">
        <f>+C19</f>
        <v>89.046999999999997</v>
      </c>
      <c r="M27" s="9" t="s">
        <v>18</v>
      </c>
      <c r="O27" s="2">
        <f>+I19</f>
        <v>134.59399999999999</v>
      </c>
    </row>
    <row r="28" spans="1:15" ht="13.2" customHeight="1" x14ac:dyDescent="0.3">
      <c r="A28" s="10"/>
      <c r="G28" s="10"/>
      <c r="M28" s="9"/>
    </row>
    <row r="29" spans="1:15" ht="13.2" customHeight="1" x14ac:dyDescent="0.3">
      <c r="A29" s="10"/>
      <c r="G29" s="10"/>
      <c r="M29" s="9"/>
    </row>
    <row r="31" spans="1:15" ht="13.2" customHeight="1" x14ac:dyDescent="0.3">
      <c r="A31" s="9" t="s">
        <v>19</v>
      </c>
      <c r="C31" s="5">
        <v>1.0274000000000001</v>
      </c>
      <c r="G31" s="9" t="s">
        <v>19</v>
      </c>
      <c r="I31" s="5">
        <v>1.0166999999999999</v>
      </c>
      <c r="M31" s="9" t="s">
        <v>19</v>
      </c>
      <c r="O31" s="5">
        <v>1.0166999999999999</v>
      </c>
    </row>
    <row r="32" spans="1:15" ht="13.2" customHeight="1" x14ac:dyDescent="0.3">
      <c r="A32" s="10"/>
      <c r="G32" s="10"/>
      <c r="M32" s="9"/>
    </row>
    <row r="34" spans="1:15" ht="13.2" customHeight="1" x14ac:dyDescent="0.3">
      <c r="A34" s="9" t="s">
        <v>7</v>
      </c>
      <c r="C34" s="6">
        <f>+G9</f>
        <v>31177.00770379688</v>
      </c>
      <c r="G34" s="9" t="s">
        <v>7</v>
      </c>
      <c r="I34" s="6">
        <f>+C37</f>
        <v>32031.257714880918</v>
      </c>
      <c r="M34" s="9" t="s">
        <v>7</v>
      </c>
      <c r="O34" s="6">
        <f>+I37</f>
        <v>32566.179718719428</v>
      </c>
    </row>
    <row r="35" spans="1:15" ht="13.2" customHeight="1" x14ac:dyDescent="0.3">
      <c r="A35" s="10"/>
      <c r="G35" s="10"/>
      <c r="M35" s="9"/>
    </row>
    <row r="37" spans="1:15" ht="13.2" customHeight="1" x14ac:dyDescent="0.3">
      <c r="A37" s="7" t="s">
        <v>20</v>
      </c>
      <c r="C37" s="6">
        <f>+C34*C31</f>
        <v>32031.257714880918</v>
      </c>
      <c r="G37" s="7" t="s">
        <v>20</v>
      </c>
      <c r="I37" s="6">
        <f>+I34*I31</f>
        <v>32566.179718719428</v>
      </c>
      <c r="M37" s="7" t="s">
        <v>20</v>
      </c>
      <c r="O37" s="6">
        <f>+O34*O31</f>
        <v>33110.034920022037</v>
      </c>
    </row>
    <row r="38" spans="1:15" ht="13.2" customHeight="1" x14ac:dyDescent="0.3">
      <c r="A38" s="7"/>
    </row>
  </sheetData>
  <mergeCells count="18">
    <mergeCell ref="A31:A32"/>
    <mergeCell ref="A34:A35"/>
    <mergeCell ref="G27:G29"/>
    <mergeCell ref="A15:A17"/>
    <mergeCell ref="G15:G17"/>
    <mergeCell ref="A19:A21"/>
    <mergeCell ref="A27:A29"/>
    <mergeCell ref="G34:G35"/>
    <mergeCell ref="G19:G21"/>
    <mergeCell ref="G31:G32"/>
    <mergeCell ref="G23:G25"/>
    <mergeCell ref="A23:A25"/>
    <mergeCell ref="M31:M32"/>
    <mergeCell ref="M34:M35"/>
    <mergeCell ref="M15:M17"/>
    <mergeCell ref="M19:M21"/>
    <mergeCell ref="M23:M25"/>
    <mergeCell ref="M27:M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Bernardo Zaragoza Mendez</dc:creator>
  <cp:lastModifiedBy>CP Asesor</cp:lastModifiedBy>
  <dcterms:created xsi:type="dcterms:W3CDTF">2025-10-29T16:51:59Z</dcterms:created>
  <dcterms:modified xsi:type="dcterms:W3CDTF">2025-10-30T22:36:44Z</dcterms:modified>
</cp:coreProperties>
</file>