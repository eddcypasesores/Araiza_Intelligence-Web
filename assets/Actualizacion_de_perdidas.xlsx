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Auxiliar 4\Downloads\"/>
    </mc:Choice>
  </mc:AlternateContent>
  <xr:revisionPtr revIDLastSave="0" documentId="13_ncr:1_{A3EE1AC9-F8DE-4DB0-A37B-5EA05C5C0BFC}" xr6:coauthVersionLast="47" xr6:coauthVersionMax="47" xr10:uidLastSave="{00000000-0000-0000-0000-000000000000}"/>
  <bookViews>
    <workbookView xWindow="28680" yWindow="-120" windowWidth="29040" windowHeight="15720" xr2:uid="{1BE4AE6A-24FA-490B-807B-1E6C74B675C3}"/>
  </bookViews>
  <sheets>
    <sheet name="Hoja1" sheetId="1" r:id="rId1"/>
  </sheets>
  <externalReferences>
    <externalReference r:id="rId2"/>
  </externalReferences>
  <definedNames>
    <definedName name="AINPC">[1]INPC!$B$8:$B$60</definedName>
    <definedName name="MINPC">[1]INPC!$B$7:$N$7</definedName>
    <definedName name="TINPC">[1]INPC!$B$8:$N$60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6" i="1" l="1"/>
  <c r="J23" i="1"/>
  <c r="J16" i="1"/>
  <c r="I30" i="1"/>
  <c r="I23" i="1"/>
  <c r="I16" i="1"/>
  <c r="H37" i="1"/>
  <c r="H30" i="1"/>
  <c r="H23" i="1"/>
  <c r="H16" i="1"/>
  <c r="G44" i="1"/>
  <c r="G37" i="1"/>
  <c r="G30" i="1"/>
  <c r="G23" i="1"/>
  <c r="G16" i="1"/>
  <c r="F51" i="1"/>
  <c r="F44" i="1"/>
  <c r="F37" i="1"/>
  <c r="F30" i="1"/>
  <c r="F16" i="1"/>
  <c r="E58" i="1"/>
  <c r="E51" i="1"/>
  <c r="E44" i="1"/>
  <c r="E37" i="1"/>
  <c r="E23" i="1"/>
  <c r="E16" i="1"/>
  <c r="D65" i="1"/>
  <c r="D58" i="1"/>
  <c r="D51" i="1"/>
  <c r="D44" i="1"/>
  <c r="D30" i="1"/>
  <c r="D23" i="1"/>
  <c r="D16" i="1"/>
  <c r="C72" i="1"/>
  <c r="C65" i="1"/>
  <c r="C58" i="1"/>
  <c r="C51" i="1"/>
  <c r="C44" i="1"/>
  <c r="C37" i="1"/>
  <c r="C30" i="1"/>
  <c r="C23" i="1"/>
  <c r="C16" i="1"/>
  <c r="B79" i="1"/>
  <c r="B72" i="1"/>
  <c r="B65" i="1"/>
  <c r="B58" i="1"/>
  <c r="R39" i="1"/>
  <c r="S39" i="1" s="1"/>
  <c r="F23" i="1"/>
  <c r="E30" i="1"/>
  <c r="D37" i="1"/>
  <c r="B51" i="1"/>
  <c r="B44" i="1"/>
  <c r="L4" i="1"/>
  <c r="K4" i="1"/>
  <c r="K9" i="1" s="1"/>
  <c r="K10" i="1" s="1"/>
  <c r="J4" i="1"/>
  <c r="I4" i="1"/>
  <c r="H4" i="1"/>
  <c r="G4" i="1"/>
  <c r="F4" i="1"/>
  <c r="E4" i="1"/>
  <c r="E9" i="1" s="1"/>
  <c r="E10" i="1" s="1"/>
  <c r="R9" i="1" s="1"/>
  <c r="D4" i="1"/>
  <c r="C4" i="1"/>
  <c r="B4" i="1"/>
  <c r="B23" i="1"/>
  <c r="B16" i="1"/>
  <c r="B37" i="1"/>
  <c r="B76" i="1"/>
  <c r="B77" i="1" s="1"/>
  <c r="C68" i="1"/>
  <c r="D61" i="1" s="1"/>
  <c r="C26" i="1"/>
  <c r="C34" i="1" s="1"/>
  <c r="C35" i="1" s="1"/>
  <c r="C33" i="1"/>
  <c r="D26" i="1" s="1"/>
  <c r="D34" i="1"/>
  <c r="C40" i="1"/>
  <c r="D33" i="1" s="1"/>
  <c r="D41" i="1"/>
  <c r="C47" i="1"/>
  <c r="D40" i="1" s="1"/>
  <c r="D48" i="1"/>
  <c r="C54" i="1"/>
  <c r="D47" i="1" s="1"/>
  <c r="D55" i="1"/>
  <c r="C61" i="1"/>
  <c r="D54" i="1" s="1"/>
  <c r="D62" i="1"/>
  <c r="D19" i="1"/>
  <c r="D27" i="1" s="1"/>
  <c r="E19" i="1"/>
  <c r="E27" i="1" s="1"/>
  <c r="C19" i="1"/>
  <c r="C27" i="1" s="1"/>
  <c r="D13" i="1"/>
  <c r="E13" i="1"/>
  <c r="F13" i="1"/>
  <c r="G13" i="1"/>
  <c r="H13" i="1"/>
  <c r="I13" i="1"/>
  <c r="J13" i="1"/>
  <c r="K13" i="1"/>
  <c r="D12" i="1"/>
  <c r="D20" i="1" s="1"/>
  <c r="E12" i="1"/>
  <c r="E20" i="1" s="1"/>
  <c r="E21" i="1" s="1"/>
  <c r="F12" i="1"/>
  <c r="F20" i="1" s="1"/>
  <c r="C12" i="1"/>
  <c r="C20" i="1" s="1"/>
  <c r="C21" i="1" s="1"/>
  <c r="D14" i="1"/>
  <c r="E14" i="1"/>
  <c r="F14" i="1"/>
  <c r="C8" i="1"/>
  <c r="D8" i="1"/>
  <c r="E8" i="1"/>
  <c r="F8" i="1"/>
  <c r="G8" i="1"/>
  <c r="H8" i="1"/>
  <c r="I8" i="1"/>
  <c r="J8" i="1"/>
  <c r="J9" i="1" s="1"/>
  <c r="J10" i="1" s="1"/>
  <c r="W19" i="1" s="1"/>
  <c r="K8" i="1"/>
  <c r="L8" i="1"/>
  <c r="C9" i="1"/>
  <c r="C10" i="1" s="1"/>
  <c r="D9" i="1"/>
  <c r="D10" i="1" s="1"/>
  <c r="Q7" i="1" s="1"/>
  <c r="G9" i="1"/>
  <c r="G10" i="1" s="1"/>
  <c r="H9" i="1"/>
  <c r="H10" i="1" s="1"/>
  <c r="L9" i="1"/>
  <c r="L10" i="1" s="1"/>
  <c r="L3" i="1" s="1"/>
  <c r="T13" i="1"/>
  <c r="U15" i="1"/>
  <c r="C13" i="1"/>
  <c r="C14" i="1" s="1"/>
  <c r="C15" i="1" s="1"/>
  <c r="B48" i="1"/>
  <c r="B49" i="1" s="1"/>
  <c r="B55" i="1"/>
  <c r="B56" i="1"/>
  <c r="B62" i="1"/>
  <c r="B63" i="1" s="1"/>
  <c r="B69" i="1"/>
  <c r="B70" i="1"/>
  <c r="B41" i="1"/>
  <c r="B42" i="1" s="1"/>
  <c r="B34" i="1"/>
  <c r="B35" i="1" s="1"/>
  <c r="B27" i="1"/>
  <c r="B28" i="1" s="1"/>
  <c r="B20" i="1"/>
  <c r="B21" i="1" s="1"/>
  <c r="B13" i="1"/>
  <c r="B14" i="1" s="1"/>
  <c r="B8" i="1"/>
  <c r="I9" i="1" l="1"/>
  <c r="I10" i="1" s="1"/>
  <c r="V17" i="1" s="1"/>
  <c r="F9" i="1"/>
  <c r="F10" i="1" s="1"/>
  <c r="F15" i="1" s="1"/>
  <c r="F17" i="1" s="1"/>
  <c r="T11" i="1" s="1"/>
  <c r="D21" i="1"/>
  <c r="C28" i="1"/>
  <c r="C69" i="1"/>
  <c r="C70" i="1" s="1"/>
  <c r="C62" i="1"/>
  <c r="C63" i="1" s="1"/>
  <c r="C55" i="1"/>
  <c r="C56" i="1" s="1"/>
  <c r="C48" i="1"/>
  <c r="C49" i="1" s="1"/>
  <c r="C41" i="1"/>
  <c r="C42" i="1" s="1"/>
  <c r="C17" i="1"/>
  <c r="C22" i="1" s="1"/>
  <c r="C24" i="1" s="1"/>
  <c r="C29" i="1" s="1"/>
  <c r="C31" i="1" s="1"/>
  <c r="Y23" i="1"/>
  <c r="Q43" i="1" s="1"/>
  <c r="X21" i="1"/>
  <c r="E15" i="1"/>
  <c r="E17" i="1" s="1"/>
  <c r="S9" i="1" s="1"/>
  <c r="P5" i="1"/>
  <c r="D15" i="1"/>
  <c r="D17" i="1" s="1"/>
  <c r="E54" i="1"/>
  <c r="D63" i="1"/>
  <c r="E47" i="1"/>
  <c r="D56" i="1"/>
  <c r="E40" i="1"/>
  <c r="D49" i="1"/>
  <c r="E33" i="1"/>
  <c r="D42" i="1"/>
  <c r="E26" i="1"/>
  <c r="D35" i="1"/>
  <c r="D28" i="1"/>
  <c r="S11" i="1" l="1"/>
  <c r="E22" i="1"/>
  <c r="E24" i="1" s="1"/>
  <c r="T9" i="1" s="1"/>
  <c r="Q5" i="1"/>
  <c r="D22" i="1"/>
  <c r="D24" i="1" s="1"/>
  <c r="R7" i="1"/>
  <c r="R5" i="1"/>
  <c r="C36" i="1"/>
  <c r="C38" i="1" s="1"/>
  <c r="S5" i="1"/>
  <c r="E28" i="1"/>
  <c r="E29" i="1" s="1"/>
  <c r="E31" i="1" s="1"/>
  <c r="U9" i="1" s="1"/>
  <c r="E34" i="1"/>
  <c r="E35" i="1" s="1"/>
  <c r="F19" i="1"/>
  <c r="F26" i="1"/>
  <c r="E41" i="1"/>
  <c r="E42" i="1" s="1"/>
  <c r="F33" i="1"/>
  <c r="E48" i="1"/>
  <c r="E49" i="1" s="1"/>
  <c r="F40" i="1"/>
  <c r="E55" i="1"/>
  <c r="F47" i="1"/>
  <c r="E56" i="1"/>
  <c r="E36" i="1" l="1"/>
  <c r="E38" i="1" s="1"/>
  <c r="V9" i="1" s="1"/>
  <c r="S7" i="1"/>
  <c r="D29" i="1"/>
  <c r="D31" i="1" s="1"/>
  <c r="C43" i="1"/>
  <c r="C45" i="1" s="1"/>
  <c r="T5" i="1"/>
  <c r="G40" i="1"/>
  <c r="G33" i="1"/>
  <c r="F48" i="1"/>
  <c r="F49" i="1" s="1"/>
  <c r="G26" i="1"/>
  <c r="F41" i="1"/>
  <c r="F42" i="1" s="1"/>
  <c r="F34" i="1"/>
  <c r="F35" i="1" s="1"/>
  <c r="G19" i="1"/>
  <c r="F27" i="1"/>
  <c r="F28" i="1" s="1"/>
  <c r="G12" i="1"/>
  <c r="F21" i="1"/>
  <c r="F22" i="1" s="1"/>
  <c r="F24" i="1" s="1"/>
  <c r="U11" i="1" s="1"/>
  <c r="E43" i="1" l="1"/>
  <c r="E45" i="1" s="1"/>
  <c r="T7" i="1"/>
  <c r="D36" i="1"/>
  <c r="D38" i="1" s="1"/>
  <c r="C50" i="1"/>
  <c r="C52" i="1" s="1"/>
  <c r="U5" i="1"/>
  <c r="G20" i="1"/>
  <c r="G21" i="1" s="1"/>
  <c r="G14" i="1"/>
  <c r="G15" i="1" s="1"/>
  <c r="G17" i="1" s="1"/>
  <c r="U13" i="1" s="1"/>
  <c r="F29" i="1"/>
  <c r="F31" i="1" s="1"/>
  <c r="F36" i="1" s="1"/>
  <c r="F38" i="1" s="1"/>
  <c r="G27" i="1"/>
  <c r="G28" i="1" s="1"/>
  <c r="H12" i="1"/>
  <c r="G34" i="1"/>
  <c r="H19" i="1"/>
  <c r="H26" i="1"/>
  <c r="G35" i="1"/>
  <c r="G41" i="1"/>
  <c r="G42" i="1" s="1"/>
  <c r="H33" i="1"/>
  <c r="W9" i="1" l="1"/>
  <c r="E50" i="1"/>
  <c r="E52" i="1" s="1"/>
  <c r="W11" i="1"/>
  <c r="F43" i="1"/>
  <c r="F45" i="1" s="1"/>
  <c r="F50" i="1" s="1"/>
  <c r="F52" i="1" s="1"/>
  <c r="U7" i="1"/>
  <c r="D43" i="1"/>
  <c r="D45" i="1" s="1"/>
  <c r="S28" i="1"/>
  <c r="V11" i="1"/>
  <c r="C57" i="1"/>
  <c r="C59" i="1" s="1"/>
  <c r="V5" i="1"/>
  <c r="I26" i="1"/>
  <c r="H34" i="1"/>
  <c r="H35" i="1" s="1"/>
  <c r="I19" i="1"/>
  <c r="H27" i="1"/>
  <c r="H28" i="1" s="1"/>
  <c r="I12" i="1"/>
  <c r="H20" i="1"/>
  <c r="H21" i="1" s="1"/>
  <c r="H14" i="1"/>
  <c r="H15" i="1" s="1"/>
  <c r="H17" i="1" s="1"/>
  <c r="V15" i="1" s="1"/>
  <c r="G22" i="1"/>
  <c r="G24" i="1" s="1"/>
  <c r="E57" i="1" l="1"/>
  <c r="E59" i="1" s="1"/>
  <c r="X9" i="1"/>
  <c r="Y11" i="1"/>
  <c r="Q37" i="1" s="1"/>
  <c r="F3" i="1"/>
  <c r="X11" i="1"/>
  <c r="V7" i="1"/>
  <c r="D50" i="1"/>
  <c r="D52" i="1" s="1"/>
  <c r="G29" i="1"/>
  <c r="G31" i="1" s="1"/>
  <c r="V13" i="1"/>
  <c r="C64" i="1"/>
  <c r="C66" i="1" s="1"/>
  <c r="W5" i="1"/>
  <c r="H22" i="1"/>
  <c r="H24" i="1" s="1"/>
  <c r="W15" i="1" s="1"/>
  <c r="I20" i="1"/>
  <c r="I21" i="1" s="1"/>
  <c r="I14" i="1"/>
  <c r="I15" i="1" s="1"/>
  <c r="I17" i="1" s="1"/>
  <c r="W17" i="1" s="1"/>
  <c r="I27" i="1"/>
  <c r="J12" i="1"/>
  <c r="I28" i="1"/>
  <c r="J19" i="1"/>
  <c r="E3" i="1" l="1"/>
  <c r="Y9" i="1"/>
  <c r="Q36" i="1" s="1"/>
  <c r="H29" i="1"/>
  <c r="H31" i="1" s="1"/>
  <c r="H36" i="1" s="1"/>
  <c r="H38" i="1" s="1"/>
  <c r="H3" i="1" s="1"/>
  <c r="Y15" i="1"/>
  <c r="Q39" i="1" s="1"/>
  <c r="W7" i="1"/>
  <c r="D57" i="1"/>
  <c r="D59" i="1" s="1"/>
  <c r="X15" i="1"/>
  <c r="G36" i="1"/>
  <c r="G38" i="1" s="1"/>
  <c r="W13" i="1"/>
  <c r="X5" i="1"/>
  <c r="C71" i="1"/>
  <c r="C73" i="1" s="1"/>
  <c r="C3" i="1" s="1"/>
  <c r="K12" i="1"/>
  <c r="J20" i="1"/>
  <c r="J21" i="1" s="1"/>
  <c r="J14" i="1"/>
  <c r="J15" i="1" s="1"/>
  <c r="J17" i="1" s="1"/>
  <c r="I22" i="1"/>
  <c r="I24" i="1" s="1"/>
  <c r="X17" i="1" s="1"/>
  <c r="X7" i="1" l="1"/>
  <c r="D64" i="1"/>
  <c r="D66" i="1" s="1"/>
  <c r="D3" i="1" s="1"/>
  <c r="X19" i="1"/>
  <c r="X13" i="1"/>
  <c r="G43" i="1"/>
  <c r="G45" i="1" s="1"/>
  <c r="G3" i="1" s="1"/>
  <c r="Y5" i="1"/>
  <c r="Q34" i="1" s="1"/>
  <c r="I29" i="1"/>
  <c r="I31" i="1" s="1"/>
  <c r="I3" i="1" s="1"/>
  <c r="J22" i="1"/>
  <c r="J24" i="1" s="1"/>
  <c r="J3" i="1" s="1"/>
  <c r="K14" i="1"/>
  <c r="K15" i="1" s="1"/>
  <c r="K17" i="1" s="1"/>
  <c r="K3" i="1" s="1"/>
  <c r="B9" i="1"/>
  <c r="B10" i="1" s="1"/>
  <c r="O3" i="1" s="1"/>
  <c r="B15" i="1" l="1"/>
  <c r="B17" i="1" s="1"/>
  <c r="P3" i="1" s="1"/>
  <c r="B22" i="1"/>
  <c r="B24" i="1" s="1"/>
  <c r="Y21" i="1"/>
  <c r="Q42" i="1" s="1"/>
  <c r="Y19" i="1"/>
  <c r="Q41" i="1" s="1"/>
  <c r="Y17" i="1"/>
  <c r="Q40" i="1" s="1"/>
  <c r="Y7" i="1"/>
  <c r="Q35" i="1" s="1"/>
  <c r="Y13" i="1"/>
  <c r="Q38" i="1" s="1"/>
  <c r="Q3" i="1" l="1"/>
  <c r="B29" i="1"/>
  <c r="B31" i="1" s="1"/>
  <c r="R3" i="1" l="1"/>
  <c r="B36" i="1"/>
  <c r="B38" i="1" s="1"/>
  <c r="S3" i="1" l="1"/>
  <c r="B43" i="1"/>
  <c r="B45" i="1" s="1"/>
  <c r="T3" i="1" l="1"/>
  <c r="B50" i="1"/>
  <c r="B52" i="1" s="1"/>
  <c r="U3" i="1" l="1"/>
  <c r="B57" i="1"/>
  <c r="B59" i="1" s="1"/>
  <c r="V3" i="1" l="1"/>
  <c r="B64" i="1"/>
  <c r="B66" i="1" s="1"/>
  <c r="W3" i="1" l="1"/>
  <c r="B71" i="1"/>
  <c r="B73" i="1" s="1"/>
  <c r="B78" i="1" l="1"/>
  <c r="B80" i="1" s="1"/>
  <c r="X3" i="1"/>
  <c r="B3" i="1" l="1"/>
  <c r="R26" i="1" s="1"/>
  <c r="Y3" i="1"/>
  <c r="Q33" i="1" s="1"/>
</calcChain>
</file>

<file path=xl/sharedStrings.xml><?xml version="1.0" encoding="utf-8"?>
<sst xmlns="http://schemas.openxmlformats.org/spreadsheetml/2006/main" count="99" uniqueCount="41">
  <si>
    <t>Año de la pérdida</t>
  </si>
  <si>
    <t>Importe de la pérdida</t>
  </si>
  <si>
    <t>1a. Actualización seleccione el mes de inicio del ejercicio</t>
  </si>
  <si>
    <t>INPC último mes del ejercicio (diciembre)</t>
  </si>
  <si>
    <t>(/) INPC primer mes de la 2a. mitad del ejercicio (julio)</t>
  </si>
  <si>
    <t>(=) Factor de actualización</t>
  </si>
  <si>
    <t>(=) Pérdida fiscal actualizada (1a.)</t>
  </si>
  <si>
    <t>(=) Pérdida pendiente de amortizar</t>
  </si>
  <si>
    <t>2a. Actualización</t>
  </si>
  <si>
    <t>INPC último mes de la 1a. Mitad del ejercicio (junio)</t>
  </si>
  <si>
    <t>(/) INPC último mes de actualización (diciembre)</t>
  </si>
  <si>
    <t>(=) Pérdida fiscal actualizada (2a.)</t>
  </si>
  <si>
    <t>(-) Amortización</t>
  </si>
  <si>
    <t>3a. Actualización</t>
  </si>
  <si>
    <t>(/) INPC último mes de actualización (junio)</t>
  </si>
  <si>
    <t>(=) Pérdida fiscal actualizada (3a.)</t>
  </si>
  <si>
    <t>4a. Actualización</t>
  </si>
  <si>
    <t>(=) Pérdida fiscal actualizada (4a.)</t>
  </si>
  <si>
    <t>5a. Actualización</t>
  </si>
  <si>
    <t>(=) Pérdida fiscal actualizada (5a.)</t>
  </si>
  <si>
    <t>6a. Actualización</t>
  </si>
  <si>
    <t>(=) Pérdida fiscal actualizada (6a.)</t>
  </si>
  <si>
    <t>7a. Actualización</t>
  </si>
  <si>
    <t>(=) Pérdida fiscal actualizada (7a.)</t>
  </si>
  <si>
    <t>8a. Actualización</t>
  </si>
  <si>
    <t>(=) Pérdida fiscal actualizada (8a.)</t>
  </si>
  <si>
    <t>9a. Actualización</t>
  </si>
  <si>
    <t>(=) Pérdida fiscal actualizada (9a.)</t>
  </si>
  <si>
    <t>10a. Actualización</t>
  </si>
  <si>
    <t>(=) Pérdida fiscal actualizada (10a.)</t>
  </si>
  <si>
    <t>Importe de la pérdida actualizada</t>
  </si>
  <si>
    <t>año</t>
  </si>
  <si>
    <t>cantidad amortizada</t>
  </si>
  <si>
    <t>cantidad pendiente de amortizar</t>
  </si>
  <si>
    <t>Remanente</t>
  </si>
  <si>
    <t>REMANENTE</t>
  </si>
  <si>
    <t>SUBIR  PERDIDAS</t>
  </si>
  <si>
    <t>PERDIDA</t>
  </si>
  <si>
    <t>11a. Actualización "Ultima"</t>
  </si>
  <si>
    <t>ACTUALIZACIÓN DE PERDIDAS</t>
  </si>
  <si>
    <t>AMORTIZACIÓN DE PERDIDAS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</si>
</sst>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#,##0.0000"/>
  </numFmts>
  <fonts count="4" x14ac:knownFonts="1">
    <font>
      <sz val="11"/>
      <color theme="1"/>
      <name val="Aptos Narrow"/>
      <family val="2"/>
      <scheme val="minor"/>
    </font>
    <font>
      <b/>
      <sz val="11"/>
      <color rgb="FFC00000"/>
      <name val="Aptos Narrow"/>
      <family val="2"/>
      <scheme val="minor"/>
    </font>
    <font>
      <b/>
      <sz val="11"/>
      <color rgb="FF0000FF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33CC3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rgb="FFC00000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43" fontId="3" fillId="0" borderId="0" applyFont="0" applyFill="0" applyBorder="0" applyAlignment="0" applyProtection="0"/>
  </cellStyleXfs>
  <cellXfs count="34">
    <xf numFmtId="0" fontId="0" fillId="0" borderId="0" xfId="0"/>
    <xf numFmtId="0" fontId="1" fillId="0" borderId="0" xfId="0" applyFont="1"/>
    <xf numFmtId="0" fontId="2" fillId="0" borderId="0" xfId="0" applyFont="1" applyAlignment="1">
      <alignment horizontal="left" indent="1"/>
    </xf>
    <xf numFmtId="4" fontId="0" fillId="0" borderId="3" xfId="0" applyNumberFormat="1" applyBorder="1"/>
    <xf numFmtId="0" fontId="0" fillId="0" borderId="0" xfId="0" applyAlignment="1">
      <alignment horizontal="left" indent="2"/>
    </xf>
    <xf numFmtId="164" fontId="0" fillId="0" borderId="3" xfId="0" quotePrefix="1" applyNumberFormat="1" applyBorder="1"/>
    <xf numFmtId="0" fontId="0" fillId="0" borderId="0" xfId="0" applyAlignment="1">
      <alignment horizontal="left"/>
    </xf>
    <xf numFmtId="4" fontId="0" fillId="0" borderId="3" xfId="0" quotePrefix="1" applyNumberFormat="1" applyBorder="1"/>
    <xf numFmtId="0" fontId="1" fillId="0" borderId="4" xfId="0" applyFont="1" applyBorder="1" applyAlignment="1">
      <alignment horizontal="left"/>
    </xf>
    <xf numFmtId="4" fontId="0" fillId="0" borderId="2" xfId="0" applyNumberFormat="1" applyBorder="1"/>
    <xf numFmtId="4" fontId="0" fillId="0" borderId="0" xfId="0" applyNumberFormat="1"/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4" fontId="0" fillId="3" borderId="2" xfId="0" applyNumberFormat="1" applyFill="1" applyBorder="1"/>
    <xf numFmtId="4" fontId="0" fillId="3" borderId="3" xfId="0" applyNumberFormat="1" applyFill="1" applyBorder="1"/>
    <xf numFmtId="4" fontId="0" fillId="0" borderId="0" xfId="0" applyNumberFormat="1" applyAlignment="1">
      <alignment vertical="center"/>
    </xf>
    <xf numFmtId="43" fontId="0" fillId="0" borderId="0" xfId="1" applyFont="1"/>
    <xf numFmtId="4" fontId="0" fillId="3" borderId="1" xfId="0" applyNumberFormat="1" applyFill="1" applyBorder="1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43" fontId="0" fillId="4" borderId="0" xfId="1" applyFont="1" applyFill="1" applyBorder="1" applyAlignment="1">
      <alignment horizontal="center"/>
    </xf>
    <xf numFmtId="4" fontId="0" fillId="5" borderId="1" xfId="0" applyNumberFormat="1" applyFill="1" applyBorder="1"/>
    <xf numFmtId="4" fontId="0" fillId="5" borderId="0" xfId="0" applyNumberFormat="1" applyFill="1"/>
    <xf numFmtId="4" fontId="0" fillId="5" borderId="6" xfId="0" applyNumberFormat="1" applyFill="1" applyBorder="1"/>
    <xf numFmtId="0" fontId="0" fillId="5" borderId="0" xfId="0" applyFill="1"/>
    <xf numFmtId="4" fontId="0" fillId="5" borderId="2" xfId="0" applyNumberFormat="1" applyFill="1" applyBorder="1"/>
    <xf numFmtId="164" fontId="0" fillId="5" borderId="3" xfId="0" quotePrefix="1" applyNumberFormat="1" applyFill="1" applyBorder="1"/>
    <xf numFmtId="4" fontId="0" fillId="5" borderId="3" xfId="0" quotePrefix="1" applyNumberFormat="1" applyFill="1" applyBorder="1"/>
    <xf numFmtId="4" fontId="0" fillId="5" borderId="3" xfId="0" applyNumberFormat="1" applyFill="1" applyBorder="1"/>
    <xf numFmtId="4" fontId="0" fillId="0" borderId="7" xfId="0" quotePrefix="1" applyNumberFormat="1" applyBorder="1"/>
    <xf numFmtId="4" fontId="0" fillId="5" borderId="7" xfId="0" quotePrefix="1" applyNumberFormat="1" applyFill="1" applyBorder="1"/>
    <xf numFmtId="43" fontId="0" fillId="4" borderId="5" xfId="1" applyFont="1" applyFill="1" applyBorder="1" applyAlignment="1">
      <alignment horizontal="left"/>
    </xf>
    <xf numFmtId="0" fontId="0" fillId="0" borderId="0" xfId="0" applyAlignment="1">
      <alignment horizontal="center"/>
    </xf>
    <xf numFmtId="0" fontId="0" fillId="0" borderId="8" xfId="0" applyBorder="1" applyAlignment="1">
      <alignment horizontal="center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Juan%20Araiza\Desktop\CHAMSAUL%202021.xlsm" TargetMode="External"/><Relationship Id="rId1" Type="http://schemas.openxmlformats.org/officeDocument/2006/relationships/externalLinkPath" Target="/Users/Juan%20Araiza/Desktop/CHAMSAUL%202021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ORTADA"/>
      <sheetName val="INDICE"/>
      <sheetName val="CLASIFICA"/>
      <sheetName val="BENERO"/>
      <sheetName val="BFEBRERO"/>
      <sheetName val="BMARZO"/>
      <sheetName val="BABRIL"/>
      <sheetName val="BMAYO"/>
      <sheetName val="BJUNIO"/>
      <sheetName val="BJULIO"/>
      <sheetName val="BAGOSTO"/>
      <sheetName val="BSEPTIEMBRE"/>
      <sheetName val="BOCTUBRE"/>
      <sheetName val="BNOVIEMBRE"/>
      <sheetName val="BDICIEMBRE"/>
      <sheetName val="CFDIE"/>
      <sheetName val="CFDIR"/>
      <sheetName val="NOMINA"/>
      <sheetName val="RESUMENN"/>
      <sheetName val="AJUSTE"/>
      <sheetName val="DMACTIVIDAD"/>
      <sheetName val="DLINEAR"/>
      <sheetName val="DSUMAD"/>
      <sheetName val="DSDOBLED"/>
      <sheetName val="DSDECLI150"/>
      <sheetName val="DEDUCCIONI"/>
      <sheetName val="PERDIDASF"/>
      <sheetName val="DISR"/>
      <sheetName val="COMPARA"/>
      <sheetName val="CUFIN"/>
      <sheetName val="CUCA"/>
      <sheetName val="PTU"/>
      <sheetName val="CLAVESAT"/>
      <sheetName val="RESULTA"/>
      <sheetName val="BALANCE"/>
      <sheetName val="CONCILIA"/>
      <sheetName val="INPC"/>
      <sheetName val="DATOS"/>
    </sheetNames>
    <sheetDataSet>
      <sheetData sheetId="0">
        <row r="16">
          <cell r="D16" t="str">
            <v>CHAMSAUL SA DE CV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>
        <row r="7">
          <cell r="B7" t="str">
            <v>Año</v>
          </cell>
          <cell r="C7" t="str">
            <v>Enero</v>
          </cell>
          <cell r="D7" t="str">
            <v>Febrero</v>
          </cell>
          <cell r="E7" t="str">
            <v>Marzo</v>
          </cell>
          <cell r="F7" t="str">
            <v>Abril</v>
          </cell>
          <cell r="G7" t="str">
            <v>Mayo</v>
          </cell>
          <cell r="H7" t="str">
            <v>Junio</v>
          </cell>
          <cell r="I7" t="str">
            <v>Julio</v>
          </cell>
          <cell r="J7" t="str">
            <v>Agosto</v>
          </cell>
          <cell r="K7" t="str">
            <v>Septiembre</v>
          </cell>
          <cell r="L7" t="str">
            <v>Octubre</v>
          </cell>
          <cell r="M7" t="str">
            <v>Noviembre</v>
          </cell>
          <cell r="N7" t="str">
            <v>Diciembre</v>
          </cell>
        </row>
        <row r="8">
          <cell r="B8">
            <v>2021</v>
          </cell>
          <cell r="C8">
            <v>110.21</v>
          </cell>
          <cell r="D8">
            <v>110.907</v>
          </cell>
          <cell r="E8">
            <v>111.824</v>
          </cell>
          <cell r="F8">
            <v>112.19</v>
          </cell>
          <cell r="G8">
            <v>112.419</v>
          </cell>
          <cell r="H8">
            <v>113.018</v>
          </cell>
          <cell r="I8">
            <v>113.682</v>
          </cell>
          <cell r="J8">
            <v>113.899</v>
          </cell>
          <cell r="K8">
            <v>114.601</v>
          </cell>
          <cell r="L8">
            <v>115.56100000000001</v>
          </cell>
          <cell r="M8">
            <v>116.884</v>
          </cell>
          <cell r="N8">
            <v>117.30800000000001</v>
          </cell>
        </row>
        <row r="9">
          <cell r="B9">
            <v>2020</v>
          </cell>
          <cell r="C9">
            <v>106.447</v>
          </cell>
          <cell r="D9">
            <v>106.889</v>
          </cell>
          <cell r="E9">
            <v>106.83799999999999</v>
          </cell>
          <cell r="F9">
            <v>105.755</v>
          </cell>
          <cell r="G9">
            <v>106.16200000000001</v>
          </cell>
          <cell r="H9">
            <v>106.74299999999999</v>
          </cell>
          <cell r="I9">
            <v>107.444</v>
          </cell>
          <cell r="J9">
            <v>107.867</v>
          </cell>
          <cell r="K9">
            <v>108.114</v>
          </cell>
          <cell r="L9">
            <v>108.774</v>
          </cell>
          <cell r="M9">
            <v>108.85599999999999</v>
          </cell>
          <cell r="N9">
            <v>109.271</v>
          </cell>
        </row>
        <row r="10">
          <cell r="B10">
            <v>2019</v>
          </cell>
          <cell r="C10">
            <v>103.108</v>
          </cell>
          <cell r="D10">
            <v>103.07899999999999</v>
          </cell>
          <cell r="E10">
            <v>103.476</v>
          </cell>
          <cell r="F10">
            <v>103.53100000000001</v>
          </cell>
          <cell r="G10">
            <v>103.233</v>
          </cell>
          <cell r="H10">
            <v>103.29900000000001</v>
          </cell>
          <cell r="I10">
            <v>103.687</v>
          </cell>
          <cell r="J10">
            <v>103.67</v>
          </cell>
          <cell r="K10">
            <v>103.94199999999999</v>
          </cell>
          <cell r="L10">
            <v>104.503</v>
          </cell>
          <cell r="M10">
            <v>105.346</v>
          </cell>
          <cell r="N10">
            <v>105.934</v>
          </cell>
        </row>
        <row r="11">
          <cell r="B11">
            <v>2018</v>
          </cell>
          <cell r="C11">
            <v>98.795000000000002</v>
          </cell>
          <cell r="D11">
            <v>99.171374</v>
          </cell>
          <cell r="E11">
            <v>99.492157000000006</v>
          </cell>
          <cell r="F11">
            <v>99.154847000000004</v>
          </cell>
          <cell r="G11">
            <v>98.994079999999997</v>
          </cell>
          <cell r="H11">
            <v>99.376464999999996</v>
          </cell>
          <cell r="I11">
            <v>99.909000000000006</v>
          </cell>
          <cell r="J11">
            <v>100.492</v>
          </cell>
          <cell r="K11">
            <v>100.917</v>
          </cell>
          <cell r="L11">
            <v>101.44</v>
          </cell>
          <cell r="M11">
            <v>102.303</v>
          </cell>
          <cell r="N11">
            <v>103.02</v>
          </cell>
        </row>
        <row r="12">
          <cell r="B12">
            <v>2017</v>
          </cell>
          <cell r="C12">
            <v>93.603882444858996</v>
          </cell>
          <cell r="D12">
            <v>94.144780335356998</v>
          </cell>
          <cell r="E12">
            <v>94.722489332292</v>
          </cell>
          <cell r="F12">
            <v>94.838932628162993</v>
          </cell>
          <cell r="G12">
            <v>94.725494320571997</v>
          </cell>
          <cell r="H12">
            <v>94.963639641805003</v>
          </cell>
          <cell r="I12">
            <v>95.322735741331002</v>
          </cell>
          <cell r="J12">
            <v>95.793767654305995</v>
          </cell>
          <cell r="K12">
            <v>96.093515235290994</v>
          </cell>
          <cell r="L12">
            <v>96.698269126750006</v>
          </cell>
          <cell r="M12">
            <v>97.695173988822006</v>
          </cell>
          <cell r="N12">
            <v>98.272882985755999</v>
          </cell>
        </row>
        <row r="13">
          <cell r="B13">
            <v>2016</v>
          </cell>
          <cell r="C13">
            <v>89.386381393112998</v>
          </cell>
          <cell r="D13">
            <v>89.777781116653998</v>
          </cell>
          <cell r="E13">
            <v>89.910000600998004</v>
          </cell>
          <cell r="F13">
            <v>89.625277961416003</v>
          </cell>
          <cell r="G13">
            <v>89.225614520102994</v>
          </cell>
          <cell r="H13">
            <v>89.324027886291006</v>
          </cell>
          <cell r="I13">
            <v>89.556914478034003</v>
          </cell>
          <cell r="J13">
            <v>89.809333493598999</v>
          </cell>
          <cell r="K13">
            <v>90.357743854798997</v>
          </cell>
          <cell r="L13">
            <v>90.906154215998995</v>
          </cell>
          <cell r="M13">
            <v>91.616833944348002</v>
          </cell>
          <cell r="N13">
            <v>92.039034797764003</v>
          </cell>
        </row>
        <row r="14">
          <cell r="B14">
            <v>2015</v>
          </cell>
          <cell r="C14">
            <v>87.110102770598999</v>
          </cell>
          <cell r="D14">
            <v>87.275377126028999</v>
          </cell>
          <cell r="E14">
            <v>87.630716990203993</v>
          </cell>
          <cell r="F14">
            <v>87.403840375022995</v>
          </cell>
          <cell r="G14">
            <v>86.967365827272999</v>
          </cell>
          <cell r="H14">
            <v>87.113107758880005</v>
          </cell>
          <cell r="I14">
            <v>87.240819760803006</v>
          </cell>
          <cell r="J14">
            <v>87.424875292986002</v>
          </cell>
          <cell r="K14">
            <v>87.752419015566005</v>
          </cell>
          <cell r="L14">
            <v>88.203918504718004</v>
          </cell>
          <cell r="M14">
            <v>88.685467876675006</v>
          </cell>
          <cell r="N14">
            <v>89.046817717411002</v>
          </cell>
        </row>
        <row r="15">
          <cell r="B15">
            <v>2014</v>
          </cell>
          <cell r="C15">
            <v>84.519051625699007</v>
          </cell>
          <cell r="D15">
            <v>84.733157040687999</v>
          </cell>
          <cell r="E15">
            <v>84.965292385360002</v>
          </cell>
          <cell r="F15">
            <v>84.806779253561004</v>
          </cell>
          <cell r="G15">
            <v>84.535579061242004</v>
          </cell>
          <cell r="H15">
            <v>84.682072239918</v>
          </cell>
          <cell r="I15">
            <v>84.914958831660996</v>
          </cell>
          <cell r="J15">
            <v>85.219965142136004</v>
          </cell>
          <cell r="K15">
            <v>85.596339924274005</v>
          </cell>
          <cell r="L15">
            <v>86.069625578460005</v>
          </cell>
          <cell r="M15">
            <v>86.763777871266001</v>
          </cell>
          <cell r="N15">
            <v>87.188983712964003</v>
          </cell>
        </row>
        <row r="16">
          <cell r="B16">
            <v>2013</v>
          </cell>
          <cell r="C16">
            <v>80.892782018150001</v>
          </cell>
          <cell r="D16">
            <v>81.290942965322003</v>
          </cell>
          <cell r="E16">
            <v>81.887433139010994</v>
          </cell>
          <cell r="F16">
            <v>81.941522928061005</v>
          </cell>
          <cell r="G16">
            <v>81.668820241600997</v>
          </cell>
          <cell r="H16">
            <v>81.619237934972006</v>
          </cell>
          <cell r="I16">
            <v>81.592193040447</v>
          </cell>
          <cell r="J16">
            <v>81.824328385119003</v>
          </cell>
          <cell r="K16">
            <v>82.132339683875003</v>
          </cell>
          <cell r="L16">
            <v>82.522988160346003</v>
          </cell>
          <cell r="M16">
            <v>83.292265160165996</v>
          </cell>
          <cell r="N16">
            <v>83.770058296773001</v>
          </cell>
        </row>
        <row r="17">
          <cell r="B17">
            <v>2012</v>
          </cell>
          <cell r="C17">
            <v>78.343049462107004</v>
          </cell>
          <cell r="D17">
            <v>78.502313840976001</v>
          </cell>
          <cell r="E17">
            <v>78.547388665184002</v>
          </cell>
          <cell r="F17">
            <v>78.300979626179995</v>
          </cell>
          <cell r="G17">
            <v>78.053819340104994</v>
          </cell>
          <cell r="H17">
            <v>78.413666686699997</v>
          </cell>
          <cell r="I17">
            <v>78.853897469800003</v>
          </cell>
          <cell r="J17">
            <v>79.090540296892996</v>
          </cell>
          <cell r="K17">
            <v>79.439118937436007</v>
          </cell>
          <cell r="L17">
            <v>79.841036119959</v>
          </cell>
          <cell r="M17">
            <v>80.383436504597995</v>
          </cell>
          <cell r="N17">
            <v>80.568243283851004</v>
          </cell>
        </row>
        <row r="18">
          <cell r="B18">
            <v>2011</v>
          </cell>
          <cell r="C18">
            <v>75.295991345633993</v>
          </cell>
          <cell r="D18">
            <v>75.578460244005001</v>
          </cell>
          <cell r="E18">
            <v>75.723450928540998</v>
          </cell>
          <cell r="F18">
            <v>75.717440951979995</v>
          </cell>
          <cell r="G18">
            <v>75.159264378868997</v>
          </cell>
          <cell r="H18">
            <v>75.155508143518006</v>
          </cell>
          <cell r="I18">
            <v>75.516106737184003</v>
          </cell>
          <cell r="J18">
            <v>75.635555021334994</v>
          </cell>
          <cell r="K18">
            <v>75.821113047658997</v>
          </cell>
          <cell r="L18">
            <v>76.332712302421996</v>
          </cell>
          <cell r="M18">
            <v>77.158332832501998</v>
          </cell>
          <cell r="N18">
            <v>77.792385359696993</v>
          </cell>
        </row>
        <row r="19">
          <cell r="B19">
            <v>2010</v>
          </cell>
          <cell r="C19">
            <v>72.552045976151007</v>
          </cell>
          <cell r="D19">
            <v>72.971670511062001</v>
          </cell>
          <cell r="E19">
            <v>73.489725492434005</v>
          </cell>
          <cell r="F19">
            <v>73.255564640854004</v>
          </cell>
          <cell r="G19">
            <v>72.793977652452</v>
          </cell>
          <cell r="H19">
            <v>72.771183233271003</v>
          </cell>
          <cell r="I19">
            <v>72.929190002590005</v>
          </cell>
          <cell r="J19">
            <v>73.131749500306</v>
          </cell>
          <cell r="K19">
            <v>73.515110186520999</v>
          </cell>
          <cell r="L19">
            <v>73.968926350203006</v>
          </cell>
          <cell r="M19">
            <v>74.561581248891997</v>
          </cell>
          <cell r="N19">
            <v>74.930954450610002</v>
          </cell>
        </row>
        <row r="20">
          <cell r="B20">
            <v>2009</v>
          </cell>
          <cell r="C20">
            <v>69.456149407474001</v>
          </cell>
          <cell r="D20">
            <v>69.609493681960004</v>
          </cell>
          <cell r="E20">
            <v>70.009950182560999</v>
          </cell>
          <cell r="F20">
            <v>70.254990188749005</v>
          </cell>
          <cell r="G20">
            <v>70.050358471107998</v>
          </cell>
          <cell r="H20">
            <v>70.179354161469007</v>
          </cell>
          <cell r="I20">
            <v>70.370516449595002</v>
          </cell>
          <cell r="J20">
            <v>70.538884318540994</v>
          </cell>
          <cell r="K20">
            <v>70.892715870817995</v>
          </cell>
          <cell r="L20">
            <v>71.107190633106001</v>
          </cell>
          <cell r="M20">
            <v>71.476045779843005</v>
          </cell>
          <cell r="N20">
            <v>71.771855174205001</v>
          </cell>
        </row>
        <row r="21">
          <cell r="B21">
            <v>2008</v>
          </cell>
          <cell r="C21">
            <v>65.350563680104003</v>
          </cell>
          <cell r="D21">
            <v>65.544834298119</v>
          </cell>
          <cell r="E21">
            <v>66.019890716036002</v>
          </cell>
          <cell r="F21">
            <v>66.170126660633997</v>
          </cell>
          <cell r="G21">
            <v>66.098635073205003</v>
          </cell>
          <cell r="H21">
            <v>66.372168103369006</v>
          </cell>
          <cell r="I21">
            <v>66.742059360067998</v>
          </cell>
          <cell r="J21">
            <v>67.127492266209003</v>
          </cell>
          <cell r="K21">
            <v>67.584934814760004</v>
          </cell>
          <cell r="L21">
            <v>68.045485693200007</v>
          </cell>
          <cell r="M21">
            <v>68.818941780386993</v>
          </cell>
          <cell r="N21">
            <v>69.295552363249001</v>
          </cell>
        </row>
        <row r="22">
          <cell r="B22">
            <v>2007</v>
          </cell>
          <cell r="C22">
            <v>63.016207934043997</v>
          </cell>
          <cell r="D22">
            <v>63.192346627710997</v>
          </cell>
          <cell r="E22">
            <v>63.329113142792998</v>
          </cell>
          <cell r="F22">
            <v>63.291295129151997</v>
          </cell>
          <cell r="G22">
            <v>62.982534360255002</v>
          </cell>
          <cell r="H22">
            <v>63.058170387535</v>
          </cell>
          <cell r="I22">
            <v>63.326004812904003</v>
          </cell>
          <cell r="J22">
            <v>63.583996193627002</v>
          </cell>
          <cell r="K22">
            <v>64.077702590875006</v>
          </cell>
          <cell r="L22">
            <v>64.327405091895997</v>
          </cell>
          <cell r="M22">
            <v>64.781221255576995</v>
          </cell>
          <cell r="N22">
            <v>65.049055680945997</v>
          </cell>
        </row>
        <row r="23">
          <cell r="B23">
            <v>2006</v>
          </cell>
          <cell r="C23">
            <v>60.603625885795999</v>
          </cell>
          <cell r="D23">
            <v>60.696357727462001</v>
          </cell>
          <cell r="E23">
            <v>60.772511809722999</v>
          </cell>
          <cell r="F23">
            <v>60.861617266518998</v>
          </cell>
          <cell r="G23">
            <v>60.590674511262002</v>
          </cell>
          <cell r="H23">
            <v>60.642998064380002</v>
          </cell>
          <cell r="I23">
            <v>60.809293713400997</v>
          </cell>
          <cell r="J23">
            <v>61.119608647242003</v>
          </cell>
          <cell r="K23">
            <v>61.736612130056002</v>
          </cell>
          <cell r="L23">
            <v>62.006518775350997</v>
          </cell>
          <cell r="M23">
            <v>62.331857303652001</v>
          </cell>
          <cell r="N23">
            <v>62.692423570686003</v>
          </cell>
        </row>
        <row r="24">
          <cell r="B24">
            <v>2005</v>
          </cell>
          <cell r="C24">
            <v>58.309160373300998</v>
          </cell>
          <cell r="D24">
            <v>58.503430991316002</v>
          </cell>
          <cell r="E24">
            <v>58.767120976834001</v>
          </cell>
          <cell r="F24">
            <v>58.976415189308</v>
          </cell>
          <cell r="G24">
            <v>58.828251464635997</v>
          </cell>
          <cell r="H24">
            <v>58.771783471665998</v>
          </cell>
          <cell r="I24">
            <v>59.001799883395002</v>
          </cell>
          <cell r="J24">
            <v>59.072255360862002</v>
          </cell>
          <cell r="K24">
            <v>59.309006487348</v>
          </cell>
          <cell r="L24">
            <v>59.454579937113998</v>
          </cell>
          <cell r="M24">
            <v>59.882493351727</v>
          </cell>
          <cell r="N24">
            <v>60.250312388501001</v>
          </cell>
        </row>
        <row r="25">
          <cell r="B25">
            <v>2004</v>
          </cell>
          <cell r="C25">
            <v>55.774317349450001</v>
          </cell>
          <cell r="D25">
            <v>56.107944757452998</v>
          </cell>
          <cell r="E25">
            <v>56.298070935616998</v>
          </cell>
          <cell r="F25">
            <v>56.383031952562</v>
          </cell>
          <cell r="G25">
            <v>56.241602942646999</v>
          </cell>
          <cell r="H25">
            <v>56.331744509406001</v>
          </cell>
          <cell r="I25">
            <v>56.479390179097003</v>
          </cell>
          <cell r="J25">
            <v>56.828041181560003</v>
          </cell>
          <cell r="K25">
            <v>57.297917049664001</v>
          </cell>
          <cell r="L25">
            <v>57.694747165395</v>
          </cell>
          <cell r="M25">
            <v>58.186899397696997</v>
          </cell>
          <cell r="N25">
            <v>58.307088153376</v>
          </cell>
        </row>
        <row r="26">
          <cell r="B26">
            <v>2003</v>
          </cell>
          <cell r="C26">
            <v>53.525440675315998</v>
          </cell>
          <cell r="D26">
            <v>53.674122454969996</v>
          </cell>
          <cell r="E26">
            <v>54.012930412785998</v>
          </cell>
          <cell r="F26">
            <v>54.105144199469997</v>
          </cell>
          <cell r="G26">
            <v>53.930559670748998</v>
          </cell>
          <cell r="H26">
            <v>53.975112399147001</v>
          </cell>
          <cell r="I26">
            <v>54.053338701333999</v>
          </cell>
          <cell r="J26">
            <v>54.215489910502001</v>
          </cell>
          <cell r="K26">
            <v>54.538238163896999</v>
          </cell>
          <cell r="L26">
            <v>54.738207386707003</v>
          </cell>
          <cell r="M26">
            <v>55.192541605370003</v>
          </cell>
          <cell r="N26">
            <v>55.429810786837997</v>
          </cell>
        </row>
        <row r="27">
          <cell r="B27">
            <v>2002</v>
          </cell>
          <cell r="C27">
            <v>50.900472009715998</v>
          </cell>
          <cell r="D27">
            <v>50.867749849081001</v>
          </cell>
          <cell r="E27">
            <v>51.127948444495999</v>
          </cell>
          <cell r="F27">
            <v>51.407234972562001</v>
          </cell>
          <cell r="G27">
            <v>51.511429231397997</v>
          </cell>
          <cell r="H27">
            <v>51.762586176958997</v>
          </cell>
          <cell r="I27">
            <v>51.911181353361997</v>
          </cell>
          <cell r="J27">
            <v>52.108560301263999</v>
          </cell>
          <cell r="K27">
            <v>52.421983564994001</v>
          </cell>
          <cell r="L27">
            <v>52.653036086686001</v>
          </cell>
          <cell r="M27">
            <v>53.078877281373998</v>
          </cell>
          <cell r="N27">
            <v>53.309929803065003</v>
          </cell>
        </row>
        <row r="28">
          <cell r="B28">
            <v>2001</v>
          </cell>
          <cell r="C28">
            <v>48.575476247933999</v>
          </cell>
          <cell r="D28">
            <v>48.543328159565</v>
          </cell>
          <cell r="E28">
            <v>48.850887781723998</v>
          </cell>
          <cell r="F28">
            <v>49.097308632382997</v>
          </cell>
          <cell r="G28">
            <v>49.209970463624998</v>
          </cell>
          <cell r="H28">
            <v>49.326363767191999</v>
          </cell>
          <cell r="I28">
            <v>49.198201964029998</v>
          </cell>
          <cell r="J28">
            <v>49.489687547186001</v>
          </cell>
          <cell r="K28">
            <v>49.950381149771999</v>
          </cell>
          <cell r="L28">
            <v>50.176135367754</v>
          </cell>
          <cell r="M28">
            <v>50.365148908872001</v>
          </cell>
          <cell r="N28">
            <v>50.434898785092997</v>
          </cell>
        </row>
        <row r="29">
          <cell r="B29">
            <v>2000</v>
          </cell>
          <cell r="C29">
            <v>44.930830116377997</v>
          </cell>
          <cell r="D29">
            <v>45.329380314521998</v>
          </cell>
          <cell r="E29">
            <v>45.580680782035003</v>
          </cell>
          <cell r="F29">
            <v>45.840018271642002</v>
          </cell>
          <cell r="G29">
            <v>46.011379073729003</v>
          </cell>
          <cell r="H29">
            <v>46.283920241006001</v>
          </cell>
          <cell r="I29">
            <v>46.464466209717997</v>
          </cell>
          <cell r="J29">
            <v>46.719785188278003</v>
          </cell>
          <cell r="K29">
            <v>47.061071604014998</v>
          </cell>
          <cell r="L29">
            <v>47.385135825852998</v>
          </cell>
          <cell r="M29">
            <v>47.790287862832997</v>
          </cell>
          <cell r="N29">
            <v>48.307671180741004</v>
          </cell>
        </row>
        <row r="30">
          <cell r="B30">
            <v>1999</v>
          </cell>
          <cell r="C30">
            <v>40.469770280539997</v>
          </cell>
          <cell r="D30">
            <v>41.013642812363997</v>
          </cell>
          <cell r="E30">
            <v>41.394683783067002</v>
          </cell>
          <cell r="F30">
            <v>41.774576609237002</v>
          </cell>
          <cell r="G30">
            <v>42.02587707675</v>
          </cell>
          <cell r="H30">
            <v>42.302006204759003</v>
          </cell>
          <cell r="I30">
            <v>42.581579771548</v>
          </cell>
          <cell r="J30">
            <v>42.821255256237997</v>
          </cell>
          <cell r="K30">
            <v>43.235018392756999</v>
          </cell>
          <cell r="L30">
            <v>43.508851226518999</v>
          </cell>
          <cell r="M30">
            <v>43.895776447019998</v>
          </cell>
          <cell r="N30">
            <v>44.335516388565999</v>
          </cell>
        </row>
        <row r="31">
          <cell r="B31">
            <v>1998</v>
          </cell>
          <cell r="C31">
            <v>34.003924110859998</v>
          </cell>
          <cell r="D31">
            <v>34.599237843852997</v>
          </cell>
          <cell r="E31">
            <v>35.004533397604</v>
          </cell>
          <cell r="F31">
            <v>35.332042063402</v>
          </cell>
          <cell r="G31">
            <v>35.613481363761998</v>
          </cell>
          <cell r="H31">
            <v>36.034420411382001</v>
          </cell>
          <cell r="I31">
            <v>36.381878110460001</v>
          </cell>
          <cell r="J31">
            <v>36.731632103784001</v>
          </cell>
          <cell r="K31">
            <v>37.327376387091</v>
          </cell>
          <cell r="L31">
            <v>37.862268927258</v>
          </cell>
          <cell r="M31">
            <v>38.532786225594002</v>
          </cell>
          <cell r="N31">
            <v>39.472974324694</v>
          </cell>
        </row>
        <row r="32">
          <cell r="B32">
            <v>1997</v>
          </cell>
          <cell r="C32">
            <v>29.498886028859999</v>
          </cell>
          <cell r="D32">
            <v>29.994598091509001</v>
          </cell>
          <cell r="E32">
            <v>30.367889073663001</v>
          </cell>
          <cell r="F32">
            <v>30.695971811728999</v>
          </cell>
          <cell r="G32">
            <v>30.976119445603</v>
          </cell>
          <cell r="H32">
            <v>31.250956912307998</v>
          </cell>
          <cell r="I32">
            <v>31.523211040861</v>
          </cell>
          <cell r="J32">
            <v>31.803502196688001</v>
          </cell>
          <cell r="K32">
            <v>32.199612588994</v>
          </cell>
          <cell r="L32">
            <v>32.456940823078</v>
          </cell>
          <cell r="M32">
            <v>32.820042010843999</v>
          </cell>
          <cell r="N32">
            <v>33.279874507621003</v>
          </cell>
        </row>
        <row r="33">
          <cell r="B33">
            <v>1996</v>
          </cell>
          <cell r="C33">
            <v>23.329753761294</v>
          </cell>
          <cell r="D33">
            <v>23.874262028762001</v>
          </cell>
          <cell r="E33">
            <v>24.399825880352999</v>
          </cell>
          <cell r="F33">
            <v>25.093449617204001</v>
          </cell>
          <cell r="G33">
            <v>25.550842302962</v>
          </cell>
          <cell r="H33">
            <v>25.966901728547001</v>
          </cell>
          <cell r="I33">
            <v>26.336030688063001</v>
          </cell>
          <cell r="J33">
            <v>26.686071714930002</v>
          </cell>
          <cell r="K33">
            <v>27.112751490396999</v>
          </cell>
          <cell r="L33">
            <v>27.451167539621</v>
          </cell>
          <cell r="M33">
            <v>27.867083448433998</v>
          </cell>
          <cell r="N33">
            <v>28.759336453704002</v>
          </cell>
        </row>
        <row r="34">
          <cell r="B34">
            <v>1995</v>
          </cell>
          <cell r="C34">
            <v>15.376990944299999</v>
          </cell>
          <cell r="D34">
            <v>16.028707348708998</v>
          </cell>
          <cell r="E34">
            <v>16.973617202949999</v>
          </cell>
          <cell r="F34">
            <v>18.326133255310999</v>
          </cell>
          <cell r="G34">
            <v>19.092090190992</v>
          </cell>
          <cell r="H34">
            <v>19.698024268685</v>
          </cell>
          <cell r="I34">
            <v>20.099588355293999</v>
          </cell>
          <cell r="J34">
            <v>20.432981265710001</v>
          </cell>
          <cell r="K34">
            <v>20.855642530130002</v>
          </cell>
          <cell r="L34">
            <v>21.284762116614999</v>
          </cell>
          <cell r="M34">
            <v>21.809608384348</v>
          </cell>
          <cell r="N34">
            <v>22.520167271192001</v>
          </cell>
        </row>
        <row r="35">
          <cell r="B35">
            <v>1994</v>
          </cell>
          <cell r="C35">
            <v>13.950374980567</v>
          </cell>
          <cell r="D35">
            <v>14.022124062044</v>
          </cell>
          <cell r="E35">
            <v>14.094224762979</v>
          </cell>
          <cell r="F35">
            <v>14.163251304932</v>
          </cell>
          <cell r="G35">
            <v>14.231682244252999</v>
          </cell>
          <cell r="H35">
            <v>14.302894568965</v>
          </cell>
          <cell r="I35">
            <v>14.366326769868</v>
          </cell>
          <cell r="J35">
            <v>14.433286645443999</v>
          </cell>
          <cell r="K35">
            <v>14.535936644548</v>
          </cell>
          <cell r="L35">
            <v>14.612245304055</v>
          </cell>
          <cell r="M35">
            <v>14.690360856448001</v>
          </cell>
          <cell r="N35">
            <v>14.819204368158999</v>
          </cell>
        </row>
        <row r="36">
          <cell r="B36">
            <v>1993</v>
          </cell>
          <cell r="C36">
            <v>12.977319763866999</v>
          </cell>
          <cell r="D36">
            <v>13.083345310799</v>
          </cell>
          <cell r="E36">
            <v>13.159593689429</v>
          </cell>
          <cell r="F36">
            <v>13.235480403514</v>
          </cell>
          <cell r="G36">
            <v>13.311137489729999</v>
          </cell>
          <cell r="H36">
            <v>13.385797123244</v>
          </cell>
          <cell r="I36">
            <v>13.450123440421001</v>
          </cell>
          <cell r="J36">
            <v>13.522112194855</v>
          </cell>
          <cell r="K36">
            <v>13.622260672231</v>
          </cell>
          <cell r="L36">
            <v>13.677973025024</v>
          </cell>
          <cell r="M36">
            <v>13.738302356338</v>
          </cell>
          <cell r="N36">
            <v>13.843054897126001</v>
          </cell>
        </row>
        <row r="37">
          <cell r="B37">
            <v>1992</v>
          </cell>
          <cell r="C37">
            <v>11.657778465389001</v>
          </cell>
          <cell r="D37">
            <v>11.795900435066001</v>
          </cell>
          <cell r="E37">
            <v>11.915947720289999</v>
          </cell>
          <cell r="F37">
            <v>12.022171319641</v>
          </cell>
          <cell r="G37">
            <v>12.101437891771999</v>
          </cell>
          <cell r="H37">
            <v>12.183345192186</v>
          </cell>
          <cell r="I37">
            <v>12.260272414519999</v>
          </cell>
          <cell r="J37">
            <v>12.335592231401</v>
          </cell>
          <cell r="K37">
            <v>12.442896524527001</v>
          </cell>
          <cell r="L37">
            <v>12.532493537792</v>
          </cell>
          <cell r="M37">
            <v>12.636620340687999</v>
          </cell>
          <cell r="N37">
            <v>12.816553481441</v>
          </cell>
        </row>
        <row r="38">
          <cell r="B38">
            <v>1991</v>
          </cell>
          <cell r="C38">
            <v>9.8838798948009998</v>
          </cell>
          <cell r="D38">
            <v>10.056424721909</v>
          </cell>
          <cell r="E38">
            <v>10.199839643789</v>
          </cell>
          <cell r="F38">
            <v>10.306687551197999</v>
          </cell>
          <cell r="G38">
            <v>10.407441671111</v>
          </cell>
          <cell r="H38">
            <v>10.516647583476001</v>
          </cell>
          <cell r="I38">
            <v>10.609584269261999</v>
          </cell>
          <cell r="J38">
            <v>10.683422977312</v>
          </cell>
          <cell r="K38">
            <v>10.789850374312</v>
          </cell>
          <cell r="L38">
            <v>10.915342738584</v>
          </cell>
          <cell r="M38">
            <v>11.186374096785</v>
          </cell>
          <cell r="N38">
            <v>11.449679866825999</v>
          </cell>
        </row>
        <row r="39">
          <cell r="B39">
            <v>1990</v>
          </cell>
          <cell r="C39">
            <v>7.7760373017279996</v>
          </cell>
          <cell r="D39">
            <v>7.9521198537759998</v>
          </cell>
          <cell r="E39">
            <v>8.0923099196599999</v>
          </cell>
          <cell r="F39">
            <v>8.2154715493909993</v>
          </cell>
          <cell r="G39">
            <v>8.3588376756719995</v>
          </cell>
          <cell r="H39">
            <v>8.5429385894719996</v>
          </cell>
          <cell r="I39">
            <v>8.6987348337260002</v>
          </cell>
          <cell r="J39">
            <v>8.8469504416049993</v>
          </cell>
          <cell r="K39">
            <v>8.9730613687050003</v>
          </cell>
          <cell r="L39">
            <v>9.102059887647</v>
          </cell>
          <cell r="M39">
            <v>9.3437231026759999</v>
          </cell>
          <cell r="N39">
            <v>9.6382139538609994</v>
          </cell>
        </row>
        <row r="40">
          <cell r="B40">
            <v>1989</v>
          </cell>
          <cell r="C40">
            <v>6.349023792963</v>
          </cell>
          <cell r="D40">
            <v>6.4351835425089998</v>
          </cell>
          <cell r="E40">
            <v>6.5049448988289997</v>
          </cell>
          <cell r="F40">
            <v>6.6022244447040004</v>
          </cell>
          <cell r="G40">
            <v>6.6930987691499997</v>
          </cell>
          <cell r="H40">
            <v>6.7743846367099998</v>
          </cell>
          <cell r="I40">
            <v>6.8421482176049997</v>
          </cell>
          <cell r="J40">
            <v>6.9073327757470002</v>
          </cell>
          <cell r="K40">
            <v>6.9733927950019998</v>
          </cell>
          <cell r="L40">
            <v>7.0765250152229999</v>
          </cell>
          <cell r="M40">
            <v>7.175855437159</v>
          </cell>
          <cell r="N40">
            <v>7.4180295787319999</v>
          </cell>
        </row>
        <row r="41">
          <cell r="B41">
            <v>1988</v>
          </cell>
          <cell r="C41">
            <v>4.7182459356499997</v>
          </cell>
          <cell r="D41">
            <v>5.1117830400719999</v>
          </cell>
          <cell r="E41">
            <v>5.3735474255859996</v>
          </cell>
          <cell r="F41">
            <v>5.538940736801</v>
          </cell>
          <cell r="G41">
            <v>5.6461086882159996</v>
          </cell>
          <cell r="H41">
            <v>5.7612921365389997</v>
          </cell>
          <cell r="I41">
            <v>5.857456543164</v>
          </cell>
          <cell r="J41">
            <v>5.9113433427300004</v>
          </cell>
          <cell r="K41">
            <v>5.9451390220790001</v>
          </cell>
          <cell r="L41">
            <v>5.9904864830819999</v>
          </cell>
          <cell r="M41">
            <v>6.0706543465480003</v>
          </cell>
          <cell r="N41">
            <v>6.1973163857179996</v>
          </cell>
        </row>
        <row r="42">
          <cell r="B42">
            <v>1987</v>
          </cell>
          <cell r="C42">
            <v>1.7044012927959999</v>
          </cell>
          <cell r="D42">
            <v>1.8273863901109999</v>
          </cell>
          <cell r="E42">
            <v>1.948152699385</v>
          </cell>
          <cell r="F42">
            <v>2.1186064597269998</v>
          </cell>
          <cell r="G42">
            <v>2.2783250588419999</v>
          </cell>
          <cell r="H42">
            <v>2.443145732803</v>
          </cell>
          <cell r="I42">
            <v>2.641021526516</v>
          </cell>
          <cell r="J42">
            <v>2.8568715486410001</v>
          </cell>
          <cell r="K42">
            <v>3.0450813948030002</v>
          </cell>
          <cell r="L42">
            <v>3.2988446335320001</v>
          </cell>
          <cell r="M42">
            <v>3.560511422667</v>
          </cell>
          <cell r="N42">
            <v>4.0863924586009999</v>
          </cell>
        </row>
        <row r="43">
          <cell r="B43">
            <v>1986</v>
          </cell>
          <cell r="C43">
            <v>0.83409223138499999</v>
          </cell>
          <cell r="D43">
            <v>0.87117447743800003</v>
          </cell>
          <cell r="E43">
            <v>0.91166671679400002</v>
          </cell>
          <cell r="F43">
            <v>0.95926311145800003</v>
          </cell>
          <cell r="G43">
            <v>1.0125700987090001</v>
          </cell>
          <cell r="H43">
            <v>1.0775666443359999</v>
          </cell>
          <cell r="I43">
            <v>1.131332892509</v>
          </cell>
          <cell r="J43">
            <v>1.221531243274</v>
          </cell>
          <cell r="K43">
            <v>1.2948116693730001</v>
          </cell>
          <cell r="L43">
            <v>1.3688240294530001</v>
          </cell>
          <cell r="M43">
            <v>1.4613043243420001</v>
          </cell>
          <cell r="N43">
            <v>1.576734625864</v>
          </cell>
        </row>
        <row r="44">
          <cell r="B44">
            <v>1985</v>
          </cell>
          <cell r="C44">
            <v>0.50271144651599997</v>
          </cell>
          <cell r="D44">
            <v>0.52359622178499998</v>
          </cell>
          <cell r="E44">
            <v>0.54388539960299997</v>
          </cell>
          <cell r="F44">
            <v>0.56062106216600005</v>
          </cell>
          <cell r="G44">
            <v>0.57390224086300001</v>
          </cell>
          <cell r="H44">
            <v>0.58827559343199998</v>
          </cell>
          <cell r="I44">
            <v>0.60876282367000001</v>
          </cell>
          <cell r="J44">
            <v>0.63537685186600001</v>
          </cell>
          <cell r="K44">
            <v>0.66075231421400005</v>
          </cell>
          <cell r="L44">
            <v>0.685852223117</v>
          </cell>
          <cell r="M44">
            <v>0.71749512498900003</v>
          </cell>
          <cell r="N44">
            <v>0.76634013058899997</v>
          </cell>
        </row>
        <row r="45">
          <cell r="B45">
            <v>1984</v>
          </cell>
          <cell r="C45">
            <v>0.31272771793199999</v>
          </cell>
          <cell r="D45">
            <v>0.32923231761100002</v>
          </cell>
          <cell r="E45">
            <v>0.34330428133399998</v>
          </cell>
          <cell r="F45">
            <v>0.35815554998400001</v>
          </cell>
          <cell r="G45">
            <v>0.370031685863</v>
          </cell>
          <cell r="H45">
            <v>0.38342337604799998</v>
          </cell>
          <cell r="I45">
            <v>0.39599270575599999</v>
          </cell>
          <cell r="J45">
            <v>0.40724883861299999</v>
          </cell>
          <cell r="K45">
            <v>0.419380437765</v>
          </cell>
          <cell r="L45">
            <v>0.434033653997</v>
          </cell>
          <cell r="M45">
            <v>0.44892941320899998</v>
          </cell>
          <cell r="N45">
            <v>0.46799581549399999</v>
          </cell>
        </row>
        <row r="46">
          <cell r="B46">
            <v>1983</v>
          </cell>
          <cell r="C46">
            <v>0.18035508617400001</v>
          </cell>
          <cell r="D46">
            <v>0.190033959196</v>
          </cell>
          <cell r="E46">
            <v>0.19923204611199999</v>
          </cell>
          <cell r="F46">
            <v>0.211845861202</v>
          </cell>
          <cell r="G46">
            <v>0.22103390303199999</v>
          </cell>
          <cell r="H46">
            <v>0.22940388942199999</v>
          </cell>
          <cell r="I46">
            <v>0.240746133379</v>
          </cell>
          <cell r="J46">
            <v>0.25009060709100001</v>
          </cell>
          <cell r="K46">
            <v>0.25778749500499998</v>
          </cell>
          <cell r="L46">
            <v>0.26634117851099998</v>
          </cell>
          <cell r="M46">
            <v>0.28198323736800002</v>
          </cell>
          <cell r="N46">
            <v>0.29404738058000002</v>
          </cell>
        </row>
        <row r="47">
          <cell r="B47">
            <v>1982</v>
          </cell>
          <cell r="C47">
            <v>8.5865535761999998E-2</v>
          </cell>
          <cell r="D47">
            <v>8.9239653757999998E-2</v>
          </cell>
          <cell r="E47">
            <v>9.2498950048999995E-2</v>
          </cell>
          <cell r="F47">
            <v>9.7512043770000001E-2</v>
          </cell>
          <cell r="G47">
            <v>0.10299300848700001</v>
          </cell>
          <cell r="H47">
            <v>0.107954431404</v>
          </cell>
          <cell r="I47">
            <v>0.11351720218399999</v>
          </cell>
          <cell r="J47">
            <v>0.126255878884</v>
          </cell>
          <cell r="K47">
            <v>0.132995499623</v>
          </cell>
          <cell r="L47">
            <v>0.13989011723100001</v>
          </cell>
          <cell r="M47">
            <v>0.14696269708699999</v>
          </cell>
          <cell r="N47">
            <v>0.16265641638700001</v>
          </cell>
        </row>
        <row r="48">
          <cell r="B48">
            <v>1981</v>
          </cell>
          <cell r="C48">
            <v>6.5615113636999997E-2</v>
          </cell>
          <cell r="D48">
            <v>6.7226824128999996E-2</v>
          </cell>
          <cell r="E48">
            <v>6.8664872229000001E-2</v>
          </cell>
          <cell r="F48">
            <v>7.0213436998999998E-2</v>
          </cell>
          <cell r="G48">
            <v>7.1275470431999999E-2</v>
          </cell>
          <cell r="H48">
            <v>7.2271488120999997E-2</v>
          </cell>
          <cell r="I48">
            <v>7.3544494264999996E-2</v>
          </cell>
          <cell r="J48">
            <v>7.5060048571000001E-2</v>
          </cell>
          <cell r="K48">
            <v>7.6456481315000005E-2</v>
          </cell>
          <cell r="L48">
            <v>7.8152867892999994E-2</v>
          </cell>
          <cell r="M48">
            <v>7.9656936920999996E-2</v>
          </cell>
          <cell r="N48">
            <v>8.1801099141000005E-2</v>
          </cell>
        </row>
        <row r="49">
          <cell r="B49">
            <v>1980</v>
          </cell>
          <cell r="C49">
            <v>5.1342222290000003E-2</v>
          </cell>
          <cell r="D49">
            <v>5.2529117335E-2</v>
          </cell>
          <cell r="E49">
            <v>5.3609811108999997E-2</v>
          </cell>
          <cell r="F49">
            <v>5.4546982931999999E-2</v>
          </cell>
          <cell r="G49">
            <v>5.5436799348999997E-2</v>
          </cell>
          <cell r="H49">
            <v>5.6536148283E-2</v>
          </cell>
          <cell r="I49">
            <v>5.8114848311E-2</v>
          </cell>
          <cell r="J49">
            <v>5.9318963503999997E-2</v>
          </cell>
          <cell r="K49">
            <v>5.9977717037999999E-2</v>
          </cell>
          <cell r="L49">
            <v>6.0886183433999999E-2</v>
          </cell>
          <cell r="M49">
            <v>6.1942481999000001E-2</v>
          </cell>
          <cell r="N49">
            <v>6.3567107600999997E-2</v>
          </cell>
        </row>
        <row r="50">
          <cell r="B50">
            <v>1979</v>
          </cell>
          <cell r="C50">
            <v>4.2237421534000001E-2</v>
          </cell>
          <cell r="D50">
            <v>4.2844504263000002E-2</v>
          </cell>
          <cell r="E50">
            <v>4.3425751590999997E-2</v>
          </cell>
          <cell r="F50">
            <v>4.3814686550000002E-2</v>
          </cell>
          <cell r="G50">
            <v>4.4388763996000002E-2</v>
          </cell>
          <cell r="H50">
            <v>4.4881030200999997E-2</v>
          </cell>
          <cell r="I50">
            <v>4.5424962027999997E-2</v>
          </cell>
          <cell r="J50">
            <v>4.6112415807999997E-2</v>
          </cell>
          <cell r="K50">
            <v>4.6677878000999998E-2</v>
          </cell>
          <cell r="L50">
            <v>4.7493063416999999E-2</v>
          </cell>
          <cell r="M50">
            <v>4.8104451184000002E-2</v>
          </cell>
          <cell r="N50">
            <v>4.8955511907000003E-2</v>
          </cell>
        </row>
        <row r="51">
          <cell r="B51">
            <v>1978</v>
          </cell>
          <cell r="C51">
            <v>3.5892480982999998E-2</v>
          </cell>
          <cell r="D51">
            <v>3.6407712565E-2</v>
          </cell>
          <cell r="E51">
            <v>3.6786597256000003E-2</v>
          </cell>
          <cell r="F51">
            <v>3.7195627565999999E-2</v>
          </cell>
          <cell r="G51">
            <v>3.7560162134E-2</v>
          </cell>
          <cell r="H51">
            <v>3.8076828728000001E-2</v>
          </cell>
          <cell r="I51">
            <v>3.8722661971000001E-2</v>
          </cell>
          <cell r="J51">
            <v>3.9108726904000003E-2</v>
          </cell>
          <cell r="K51">
            <v>3.9555067534000003E-2</v>
          </cell>
          <cell r="L51">
            <v>4.0034418628000001E-2</v>
          </cell>
          <cell r="M51">
            <v>4.0446313781999997E-2</v>
          </cell>
          <cell r="N51">
            <v>4.0789323166000001E-2</v>
          </cell>
        </row>
        <row r="52">
          <cell r="B52">
            <v>1977</v>
          </cell>
          <cell r="C52">
            <v>3.0026891524999998E-2</v>
          </cell>
          <cell r="D52">
            <v>3.0689944915999998E-2</v>
          </cell>
          <cell r="E52">
            <v>3.1225266668999999E-2</v>
          </cell>
          <cell r="F52">
            <v>3.1697442701999999E-2</v>
          </cell>
          <cell r="G52">
            <v>3.1975866170999998E-2</v>
          </cell>
          <cell r="H52">
            <v>3.2367671153000002E-2</v>
          </cell>
          <cell r="I52">
            <v>3.2733645913999999E-2</v>
          </cell>
          <cell r="J52">
            <v>3.3405309378E-2</v>
          </cell>
          <cell r="K52">
            <v>3.3998041984999998E-2</v>
          </cell>
          <cell r="L52">
            <v>3.4257810293999998E-2</v>
          </cell>
          <cell r="M52">
            <v>3.4632389947999997E-2</v>
          </cell>
          <cell r="N52">
            <v>3.5111741042000003E-2</v>
          </cell>
        </row>
        <row r="53">
          <cell r="B53">
            <v>1976</v>
          </cell>
          <cell r="C53">
            <v>2.3318846237999999E-2</v>
          </cell>
          <cell r="D53">
            <v>2.3755141782E-2</v>
          </cell>
          <cell r="E53">
            <v>2.3987639676999999E-2</v>
          </cell>
          <cell r="F53">
            <v>2.4155556839E-2</v>
          </cell>
          <cell r="G53">
            <v>2.4324909012E-2</v>
          </cell>
          <cell r="H53">
            <v>2.4422500209000001E-2</v>
          </cell>
          <cell r="I53">
            <v>2.4629167883E-2</v>
          </cell>
          <cell r="J53">
            <v>2.4864535803E-2</v>
          </cell>
          <cell r="K53">
            <v>2.5712731682000001E-2</v>
          </cell>
          <cell r="L53">
            <v>2.7160830048999999E-2</v>
          </cell>
          <cell r="M53">
            <v>2.8387910620000002E-2</v>
          </cell>
          <cell r="N53">
            <v>2.9099759608E-2</v>
          </cell>
        </row>
        <row r="54">
          <cell r="B54">
            <v>1975</v>
          </cell>
          <cell r="C54">
            <v>2.0815889497999999E-2</v>
          </cell>
          <cell r="D54">
            <v>2.0930700843E-2</v>
          </cell>
          <cell r="E54">
            <v>2.1062737517E-2</v>
          </cell>
          <cell r="F54">
            <v>2.1240699762999998E-2</v>
          </cell>
          <cell r="G54">
            <v>2.1524868462999999E-2</v>
          </cell>
          <cell r="H54">
            <v>2.1890838042999999E-2</v>
          </cell>
          <cell r="I54">
            <v>2.2065930264999999E-2</v>
          </cell>
          <cell r="J54">
            <v>2.2256812803999999E-2</v>
          </cell>
          <cell r="K54">
            <v>2.2418984735000001E-2</v>
          </cell>
          <cell r="L54">
            <v>2.2533801260999999E-2</v>
          </cell>
          <cell r="M54">
            <v>2.2691673336000001E-2</v>
          </cell>
          <cell r="N54">
            <v>2.2876810644E-2</v>
          </cell>
        </row>
        <row r="55">
          <cell r="B55">
            <v>1974</v>
          </cell>
          <cell r="C55">
            <v>1.7652744211999999E-2</v>
          </cell>
          <cell r="D55">
            <v>1.8051724256000001E-2</v>
          </cell>
          <cell r="E55">
            <v>1.8190941171000001E-2</v>
          </cell>
          <cell r="F55">
            <v>1.8437789190000001E-2</v>
          </cell>
          <cell r="G55">
            <v>1.8582746154000001E-2</v>
          </cell>
          <cell r="H55">
            <v>1.8766448450000001E-2</v>
          </cell>
          <cell r="I55">
            <v>1.9037696858000001E-2</v>
          </cell>
          <cell r="J55">
            <v>1.9238624482000002E-2</v>
          </cell>
          <cell r="K55">
            <v>1.9456772255000001E-2</v>
          </cell>
          <cell r="L55">
            <v>1.9842832008000001E-2</v>
          </cell>
          <cell r="M55">
            <v>2.0393944077000001E-2</v>
          </cell>
          <cell r="N55">
            <v>2.0553251163999999E-2</v>
          </cell>
        </row>
        <row r="56">
          <cell r="B56">
            <v>1973</v>
          </cell>
          <cell r="C56">
            <v>1.4245620933999999E-2</v>
          </cell>
          <cell r="D56">
            <v>1.4363307483E-2</v>
          </cell>
          <cell r="E56">
            <v>1.4489604107000001E-2</v>
          </cell>
          <cell r="F56">
            <v>1.4719231978E-2</v>
          </cell>
          <cell r="G56">
            <v>1.4875669039999999E-2</v>
          </cell>
          <cell r="H56">
            <v>1.4997655447E-2</v>
          </cell>
          <cell r="I56">
            <v>1.5382285367999999E-2</v>
          </cell>
          <cell r="J56">
            <v>1.5629138567E-2</v>
          </cell>
          <cell r="K56">
            <v>1.6000848195999999E-2</v>
          </cell>
          <cell r="L56">
            <v>1.6206080857E-2</v>
          </cell>
          <cell r="M56">
            <v>1.640557347E-2</v>
          </cell>
          <cell r="N56">
            <v>1.7042791458000001E-2</v>
          </cell>
        </row>
        <row r="57">
          <cell r="B57">
            <v>1972</v>
          </cell>
          <cell r="C57">
            <v>1.3361549746E-2</v>
          </cell>
          <cell r="D57">
            <v>1.3403170284E-2</v>
          </cell>
          <cell r="E57">
            <v>1.3476366272000001E-2</v>
          </cell>
          <cell r="F57">
            <v>1.3561042358E-2</v>
          </cell>
          <cell r="G57">
            <v>1.3588307592E-2</v>
          </cell>
          <cell r="H57">
            <v>1.3688768814E-2</v>
          </cell>
          <cell r="I57">
            <v>1.3740439618E-2</v>
          </cell>
          <cell r="J57">
            <v>1.3830855754000001E-2</v>
          </cell>
          <cell r="K57">
            <v>1.3894001475000001E-2</v>
          </cell>
          <cell r="L57">
            <v>1.3904046562E-2</v>
          </cell>
          <cell r="M57">
            <v>1.3994462698000001E-2</v>
          </cell>
          <cell r="N57">
            <v>1.4041828465E-2</v>
          </cell>
        </row>
        <row r="58">
          <cell r="B58">
            <v>1971</v>
          </cell>
          <cell r="C58">
            <v>1.2798957579E-2</v>
          </cell>
          <cell r="D58">
            <v>1.2852058214E-2</v>
          </cell>
          <cell r="E58">
            <v>1.2900853812999999E-2</v>
          </cell>
          <cell r="F58">
            <v>1.2966874739E-2</v>
          </cell>
          <cell r="G58">
            <v>1.2994145154000001E-2</v>
          </cell>
          <cell r="H58">
            <v>1.3052985838000001E-2</v>
          </cell>
          <cell r="I58">
            <v>1.3042940752E-2</v>
          </cell>
          <cell r="J58">
            <v>1.3162057134E-2</v>
          </cell>
          <cell r="K58">
            <v>1.3205112683E-2</v>
          </cell>
          <cell r="L58">
            <v>1.3218032974E-2</v>
          </cell>
          <cell r="M58">
            <v>1.3239558158999999E-2</v>
          </cell>
          <cell r="N58">
            <v>1.3302709062E-2</v>
          </cell>
        </row>
        <row r="59">
          <cell r="B59">
            <v>1970</v>
          </cell>
          <cell r="C59">
            <v>1.2197614896999999E-2</v>
          </cell>
          <cell r="D59">
            <v>1.2196179885E-2</v>
          </cell>
          <cell r="E59">
            <v>1.2232060373E-2</v>
          </cell>
          <cell r="F59">
            <v>1.2247845508E-2</v>
          </cell>
          <cell r="G59">
            <v>1.2273680909999999E-2</v>
          </cell>
          <cell r="H59">
            <v>1.2348311911E-2</v>
          </cell>
          <cell r="I59">
            <v>1.2408587608E-2</v>
          </cell>
          <cell r="J59">
            <v>1.2465993280999999E-2</v>
          </cell>
          <cell r="K59">
            <v>1.249613372E-2</v>
          </cell>
          <cell r="L59">
            <v>1.2500438756E-2</v>
          </cell>
          <cell r="M59">
            <v>1.2567894695E-2</v>
          </cell>
          <cell r="N59">
            <v>1.2674095967000001E-2</v>
          </cell>
        </row>
        <row r="60">
          <cell r="B60">
            <v>1969</v>
          </cell>
          <cell r="C60">
            <v>1.1594842385E-2</v>
          </cell>
          <cell r="D60">
            <v>1.1636457742000001E-2</v>
          </cell>
          <cell r="E60">
            <v>1.1647943020999999E-2</v>
          </cell>
          <cell r="F60">
            <v>1.1679513290999999E-2</v>
          </cell>
          <cell r="G60">
            <v>1.1679513290999999E-2</v>
          </cell>
          <cell r="H60">
            <v>1.1721133829E-2</v>
          </cell>
          <cell r="I60">
            <v>1.176562439E-2</v>
          </cell>
          <cell r="J60">
            <v>1.1778544681E-2</v>
          </cell>
          <cell r="K60">
            <v>1.1889050989E-2</v>
          </cell>
          <cell r="L60">
            <v>1.2013912601E-2</v>
          </cell>
          <cell r="M60">
            <v>1.2015347613000001E-2</v>
          </cell>
          <cell r="N60">
            <v>1.2105763748999999E-2</v>
          </cell>
        </row>
      </sheetData>
      <sheetData sheetId="37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03498C-B76C-4967-BF26-128F7E09E6F2}">
  <dimension ref="A1:AH80"/>
  <sheetViews>
    <sheetView showGridLines="0" tabSelected="1" workbookViewId="0">
      <selection activeCell="H12" sqref="H12"/>
    </sheetView>
  </sheetViews>
  <sheetFormatPr baseColWidth="10" defaultColWidth="11.44140625" defaultRowHeight="14.4" x14ac:dyDescent="0.3"/>
  <cols>
    <col min="1" max="1" width="69.33203125" customWidth="1"/>
    <col min="8" max="8" width="11.6640625" bestFit="1" customWidth="1"/>
  </cols>
  <sheetData>
    <row r="1" spans="1:30" x14ac:dyDescent="0.3">
      <c r="A1" s="33" t="s">
        <v>39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N1" s="32" t="s">
        <v>40</v>
      </c>
      <c r="O1" s="32"/>
      <c r="P1" s="32"/>
      <c r="Q1" s="32"/>
      <c r="R1" s="32"/>
      <c r="S1" s="32"/>
      <c r="T1" s="32"/>
      <c r="U1" s="32"/>
      <c r="V1" s="32"/>
      <c r="W1" s="32"/>
      <c r="X1" s="32"/>
      <c r="Y1" s="32"/>
    </row>
    <row r="2" spans="1:30" x14ac:dyDescent="0.3">
      <c r="A2" s="11" t="s">
        <v>0</v>
      </c>
      <c r="B2" s="11">
        <v>2015</v>
      </c>
      <c r="C2" s="12">
        <v>2016</v>
      </c>
      <c r="D2" s="11">
        <v>2017</v>
      </c>
      <c r="E2" s="12">
        <v>2018</v>
      </c>
      <c r="F2" s="11">
        <v>2019</v>
      </c>
      <c r="G2" s="12">
        <v>2020</v>
      </c>
      <c r="H2" s="11">
        <v>2021</v>
      </c>
      <c r="I2" s="12">
        <v>2022</v>
      </c>
      <c r="J2" s="11">
        <v>2023</v>
      </c>
      <c r="K2" s="12">
        <v>2024</v>
      </c>
      <c r="L2" s="11">
        <v>2025</v>
      </c>
      <c r="O2" s="11">
        <v>2015</v>
      </c>
      <c r="P2" s="11">
        <v>2016</v>
      </c>
      <c r="Q2" s="11">
        <v>2017</v>
      </c>
      <c r="R2" s="11">
        <v>2018</v>
      </c>
      <c r="S2" s="11">
        <v>2019</v>
      </c>
      <c r="T2" s="11">
        <v>2020</v>
      </c>
      <c r="U2" s="11">
        <v>2021</v>
      </c>
      <c r="V2" s="11">
        <v>2022</v>
      </c>
      <c r="W2" s="11">
        <v>2023</v>
      </c>
      <c r="X2" s="11">
        <v>2024</v>
      </c>
      <c r="Y2" s="11">
        <v>2025</v>
      </c>
    </row>
    <row r="3" spans="1:30" x14ac:dyDescent="0.3">
      <c r="A3" s="1" t="s">
        <v>30</v>
      </c>
      <c r="B3" s="9">
        <f>+B80</f>
        <v>0</v>
      </c>
      <c r="C3" s="9">
        <f>+C73</f>
        <v>0</v>
      </c>
      <c r="D3" s="9">
        <f>+D66</f>
        <v>0</v>
      </c>
      <c r="E3" s="9">
        <f>+E59</f>
        <v>0</v>
      </c>
      <c r="F3" s="9">
        <f>+F52</f>
        <v>0</v>
      </c>
      <c r="G3" s="9">
        <f>+G45</f>
        <v>0</v>
      </c>
      <c r="H3" s="9">
        <f>+H38</f>
        <v>0</v>
      </c>
      <c r="I3" s="9">
        <f>+I31</f>
        <v>0</v>
      </c>
      <c r="J3" s="9">
        <f>+J24</f>
        <v>0</v>
      </c>
      <c r="K3" s="9">
        <f>+K17</f>
        <v>0</v>
      </c>
      <c r="L3" s="9">
        <f>+L10</f>
        <v>0</v>
      </c>
      <c r="M3" s="15"/>
      <c r="N3" t="s">
        <v>35</v>
      </c>
      <c r="O3" s="10">
        <f>+$B$10</f>
        <v>0</v>
      </c>
      <c r="P3" s="10">
        <f>+$B$17</f>
        <v>0</v>
      </c>
      <c r="Q3" s="10">
        <f>+$B$24</f>
        <v>0</v>
      </c>
      <c r="R3" s="10">
        <f>+$B$31</f>
        <v>0</v>
      </c>
      <c r="S3" s="10">
        <f>+$B$38</f>
        <v>0</v>
      </c>
      <c r="T3" s="10">
        <f>+$B$45</f>
        <v>0</v>
      </c>
      <c r="U3" s="10">
        <f>+$B$52</f>
        <v>0</v>
      </c>
      <c r="V3" s="10">
        <f>+$B$59</f>
        <v>0</v>
      </c>
      <c r="W3" s="10">
        <f>+$B$66</f>
        <v>0</v>
      </c>
      <c r="X3" s="10">
        <f>+$B$73</f>
        <v>0</v>
      </c>
      <c r="Y3" s="10">
        <f>+$B$80</f>
        <v>0</v>
      </c>
    </row>
    <row r="4" spans="1:30" x14ac:dyDescent="0.3">
      <c r="A4" s="1" t="s">
        <v>1</v>
      </c>
      <c r="B4" s="13">
        <f>+O33</f>
        <v>0</v>
      </c>
      <c r="C4" s="13">
        <f>+O34</f>
        <v>0</v>
      </c>
      <c r="D4" s="13">
        <f>+O35</f>
        <v>0</v>
      </c>
      <c r="E4" s="13">
        <f>+O36</f>
        <v>0</v>
      </c>
      <c r="F4" s="13">
        <f>+O37</f>
        <v>0</v>
      </c>
      <c r="G4" s="13">
        <f>+O38</f>
        <v>0</v>
      </c>
      <c r="H4" s="13">
        <f>+O39</f>
        <v>0</v>
      </c>
      <c r="I4" s="13">
        <f>+O40</f>
        <v>0</v>
      </c>
      <c r="J4" s="13">
        <f>+O41</f>
        <v>0</v>
      </c>
      <c r="K4" s="13">
        <f>+O42</f>
        <v>0</v>
      </c>
      <c r="L4" s="13">
        <f>+O41</f>
        <v>0</v>
      </c>
      <c r="N4" s="18">
        <v>2015</v>
      </c>
      <c r="O4" s="21"/>
      <c r="P4" s="17">
        <v>0</v>
      </c>
      <c r="Q4" s="17">
        <v>0</v>
      </c>
      <c r="R4" s="17">
        <v>0</v>
      </c>
      <c r="S4" s="17">
        <v>0</v>
      </c>
      <c r="T4" s="17">
        <v>0</v>
      </c>
      <c r="U4" s="17">
        <v>0</v>
      </c>
      <c r="V4" s="17">
        <v>0</v>
      </c>
      <c r="W4" s="17">
        <v>0</v>
      </c>
      <c r="X4" s="17">
        <v>0</v>
      </c>
      <c r="Y4" s="17">
        <v>0</v>
      </c>
    </row>
    <row r="5" spans="1:30" x14ac:dyDescent="0.3">
      <c r="A5" s="2" t="s">
        <v>2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N5" t="s">
        <v>35</v>
      </c>
      <c r="O5" s="22"/>
      <c r="P5" s="10">
        <f>+$C$10</f>
        <v>0</v>
      </c>
      <c r="Q5" s="10">
        <f>+$C$17</f>
        <v>0</v>
      </c>
      <c r="R5" s="10">
        <f>+$C$24</f>
        <v>0</v>
      </c>
      <c r="S5" s="10">
        <f>+$C$31</f>
        <v>0</v>
      </c>
      <c r="T5" s="10">
        <f>+$C$38</f>
        <v>0</v>
      </c>
      <c r="U5" s="10">
        <f>+$C$45</f>
        <v>0</v>
      </c>
      <c r="V5" s="10">
        <f>+$C$52</f>
        <v>0</v>
      </c>
      <c r="W5" s="10">
        <f>+$C$59</f>
        <v>0</v>
      </c>
      <c r="X5" s="10">
        <f>+$C$66</f>
        <v>0</v>
      </c>
      <c r="Y5" s="10">
        <f>+$C$73</f>
        <v>0</v>
      </c>
    </row>
    <row r="6" spans="1:30" x14ac:dyDescent="0.3">
      <c r="A6" s="4" t="s">
        <v>3</v>
      </c>
      <c r="B6" s="5">
        <v>89.046999999999997</v>
      </c>
      <c r="C6" s="5">
        <v>92.039000000000001</v>
      </c>
      <c r="D6" s="5">
        <v>98.272999999999996</v>
      </c>
      <c r="E6" s="5">
        <v>103.02</v>
      </c>
      <c r="F6" s="5">
        <v>105.934</v>
      </c>
      <c r="G6" s="5">
        <v>109.271</v>
      </c>
      <c r="H6" s="5">
        <v>117.30800000000001</v>
      </c>
      <c r="I6" s="5">
        <v>126.47799999999999</v>
      </c>
      <c r="J6" s="5">
        <v>132.37299999999999</v>
      </c>
      <c r="K6" s="5">
        <v>137.94900000000001</v>
      </c>
      <c r="L6" s="5"/>
      <c r="N6" s="18">
        <v>2016</v>
      </c>
      <c r="O6" s="23"/>
      <c r="P6" s="21"/>
      <c r="Q6" s="17">
        <v>0</v>
      </c>
      <c r="R6" s="17">
        <v>0</v>
      </c>
      <c r="S6" s="17">
        <v>0</v>
      </c>
      <c r="T6" s="17">
        <v>0</v>
      </c>
      <c r="U6" s="17">
        <v>0</v>
      </c>
      <c r="V6" s="17">
        <v>0</v>
      </c>
      <c r="W6" s="17">
        <v>0</v>
      </c>
      <c r="X6" s="17">
        <v>0</v>
      </c>
      <c r="Y6" s="17">
        <v>0</v>
      </c>
    </row>
    <row r="7" spans="1:30" x14ac:dyDescent="0.3">
      <c r="A7" s="4" t="s">
        <v>4</v>
      </c>
      <c r="B7" s="5">
        <v>87.241</v>
      </c>
      <c r="C7" s="5">
        <v>89.557000000000002</v>
      </c>
      <c r="D7" s="5">
        <v>95.322999999999993</v>
      </c>
      <c r="E7" s="5">
        <v>99.909000000000006</v>
      </c>
      <c r="F7" s="5">
        <v>103.687</v>
      </c>
      <c r="G7" s="5">
        <v>107.444</v>
      </c>
      <c r="H7" s="5">
        <v>113.682</v>
      </c>
      <c r="I7" s="5">
        <v>122.94799999999999</v>
      </c>
      <c r="J7" s="5">
        <v>128.83199999999999</v>
      </c>
      <c r="K7" s="5">
        <v>136.00299999999999</v>
      </c>
      <c r="L7" s="5">
        <v>140.78</v>
      </c>
      <c r="N7" t="s">
        <v>35</v>
      </c>
      <c r="O7" s="22"/>
      <c r="P7" s="24"/>
      <c r="Q7" s="10">
        <f>+$D$10</f>
        <v>0</v>
      </c>
      <c r="R7" s="10">
        <f>+$D$17</f>
        <v>0</v>
      </c>
      <c r="S7" s="10">
        <f>+$D$24</f>
        <v>0</v>
      </c>
      <c r="T7" s="10">
        <f>+$D$31</f>
        <v>0</v>
      </c>
      <c r="U7" s="10">
        <f>+$D$38</f>
        <v>0</v>
      </c>
      <c r="V7" s="10">
        <f>+$D$45</f>
        <v>0</v>
      </c>
      <c r="W7" s="10">
        <f>+$D$52</f>
        <v>0</v>
      </c>
      <c r="X7" s="10">
        <f>+$D$59</f>
        <v>0</v>
      </c>
      <c r="Y7" s="10">
        <f>+$D$66</f>
        <v>0</v>
      </c>
      <c r="Z7" s="10"/>
    </row>
    <row r="8" spans="1:30" x14ac:dyDescent="0.3">
      <c r="A8" s="4" t="s">
        <v>5</v>
      </c>
      <c r="B8" s="5">
        <f>FIXED(B6/B7,4)*1</f>
        <v>1.0206999999999999</v>
      </c>
      <c r="C8" s="5">
        <f t="shared" ref="C8:L8" si="0">FIXED(C6/C7,4)*1</f>
        <v>1.0277000000000001</v>
      </c>
      <c r="D8" s="5">
        <f t="shared" si="0"/>
        <v>1.0308999999999999</v>
      </c>
      <c r="E8" s="5">
        <f t="shared" si="0"/>
        <v>1.0310999999999999</v>
      </c>
      <c r="F8" s="5">
        <f t="shared" si="0"/>
        <v>1.0217000000000001</v>
      </c>
      <c r="G8" s="5">
        <f t="shared" si="0"/>
        <v>1.0169999999999999</v>
      </c>
      <c r="H8" s="5">
        <f t="shared" si="0"/>
        <v>1.0319</v>
      </c>
      <c r="I8" s="5">
        <f t="shared" si="0"/>
        <v>1.0286999999999999</v>
      </c>
      <c r="J8" s="5">
        <f t="shared" si="0"/>
        <v>1.0275000000000001</v>
      </c>
      <c r="K8" s="5">
        <f t="shared" si="0"/>
        <v>1.0143</v>
      </c>
      <c r="L8" s="5">
        <f t="shared" si="0"/>
        <v>0</v>
      </c>
      <c r="N8" s="18">
        <v>2017</v>
      </c>
      <c r="O8" s="23"/>
      <c r="P8" s="21"/>
      <c r="Q8" s="21"/>
      <c r="R8" s="17">
        <v>0</v>
      </c>
      <c r="S8" s="17">
        <v>0</v>
      </c>
      <c r="T8" s="17">
        <v>0</v>
      </c>
      <c r="U8" s="17">
        <v>0</v>
      </c>
      <c r="V8" s="17">
        <v>0</v>
      </c>
      <c r="W8" s="17">
        <v>0</v>
      </c>
      <c r="X8" s="17">
        <v>0</v>
      </c>
      <c r="Y8" s="17">
        <v>0</v>
      </c>
    </row>
    <row r="9" spans="1:30" x14ac:dyDescent="0.3">
      <c r="A9" s="6" t="s">
        <v>6</v>
      </c>
      <c r="B9" s="7">
        <f t="shared" ref="B9:L9" si="1">+B8*B4</f>
        <v>0</v>
      </c>
      <c r="C9" s="7">
        <f t="shared" si="1"/>
        <v>0</v>
      </c>
      <c r="D9" s="7">
        <f t="shared" si="1"/>
        <v>0</v>
      </c>
      <c r="E9" s="7">
        <f t="shared" si="1"/>
        <v>0</v>
      </c>
      <c r="F9" s="7">
        <f t="shared" si="1"/>
        <v>0</v>
      </c>
      <c r="G9" s="7">
        <f t="shared" si="1"/>
        <v>0</v>
      </c>
      <c r="H9" s="7">
        <f t="shared" si="1"/>
        <v>0</v>
      </c>
      <c r="I9" s="7">
        <f t="shared" si="1"/>
        <v>0</v>
      </c>
      <c r="J9" s="7">
        <f t="shared" si="1"/>
        <v>0</v>
      </c>
      <c r="K9" s="7">
        <f t="shared" si="1"/>
        <v>0</v>
      </c>
      <c r="L9" s="7">
        <f t="shared" si="1"/>
        <v>0</v>
      </c>
      <c r="N9" t="s">
        <v>35</v>
      </c>
      <c r="O9" s="22"/>
      <c r="P9" s="24"/>
      <c r="R9" s="10">
        <f>+$E$10</f>
        <v>0</v>
      </c>
      <c r="S9" s="10">
        <f>+$E$17</f>
        <v>0</v>
      </c>
      <c r="T9" s="10">
        <f>+$E$24</f>
        <v>0</v>
      </c>
      <c r="U9" s="10">
        <f>+$E$31</f>
        <v>0</v>
      </c>
      <c r="V9" s="10">
        <f>+$E$38</f>
        <v>0</v>
      </c>
      <c r="W9" s="10">
        <f>+$E$45</f>
        <v>0</v>
      </c>
      <c r="X9" s="10">
        <f>+$E$52</f>
        <v>0</v>
      </c>
      <c r="Y9" s="10">
        <f>+$E$59</f>
        <v>0</v>
      </c>
      <c r="Z9" s="10"/>
      <c r="AA9" s="10"/>
    </row>
    <row r="10" spans="1:30" x14ac:dyDescent="0.3">
      <c r="A10" s="8" t="s">
        <v>7</v>
      </c>
      <c r="B10" s="7">
        <f>+B9</f>
        <v>0</v>
      </c>
      <c r="C10" s="7">
        <f t="shared" ref="C10:L10" si="2">+C9</f>
        <v>0</v>
      </c>
      <c r="D10" s="7">
        <f t="shared" si="2"/>
        <v>0</v>
      </c>
      <c r="E10" s="7">
        <f t="shared" si="2"/>
        <v>0</v>
      </c>
      <c r="F10" s="7">
        <f t="shared" si="2"/>
        <v>0</v>
      </c>
      <c r="G10" s="7">
        <f t="shared" si="2"/>
        <v>0</v>
      </c>
      <c r="H10" s="7">
        <f t="shared" si="2"/>
        <v>0</v>
      </c>
      <c r="I10" s="7">
        <f t="shared" si="2"/>
        <v>0</v>
      </c>
      <c r="J10" s="7">
        <f t="shared" si="2"/>
        <v>0</v>
      </c>
      <c r="K10" s="7">
        <f t="shared" si="2"/>
        <v>0</v>
      </c>
      <c r="L10" s="7">
        <f t="shared" si="2"/>
        <v>0</v>
      </c>
      <c r="N10" s="18">
        <v>2018</v>
      </c>
      <c r="O10" s="23"/>
      <c r="P10" s="21"/>
      <c r="Q10" s="21"/>
      <c r="R10" s="21"/>
      <c r="S10" s="17">
        <v>0</v>
      </c>
      <c r="T10" s="17">
        <v>0</v>
      </c>
      <c r="U10" s="17">
        <v>0</v>
      </c>
      <c r="V10" s="17">
        <v>0</v>
      </c>
      <c r="W10" s="17">
        <v>0</v>
      </c>
      <c r="X10" s="17">
        <v>0</v>
      </c>
      <c r="Y10" s="17">
        <v>0</v>
      </c>
    </row>
    <row r="11" spans="1:30" x14ac:dyDescent="0.3">
      <c r="A11" s="2" t="s">
        <v>8</v>
      </c>
      <c r="B11" s="9"/>
      <c r="C11" s="9"/>
      <c r="D11" s="9"/>
      <c r="E11" s="9"/>
      <c r="F11" s="9"/>
      <c r="G11" s="9"/>
      <c r="H11" s="9"/>
      <c r="I11" s="9"/>
      <c r="J11" s="9"/>
      <c r="K11" s="9"/>
      <c r="L11" s="25"/>
      <c r="N11" t="s">
        <v>35</v>
      </c>
      <c r="O11" s="22"/>
      <c r="P11" s="24"/>
      <c r="Q11" s="24"/>
      <c r="R11" s="24"/>
      <c r="S11" s="10">
        <f>+$F$10</f>
        <v>0</v>
      </c>
      <c r="T11" s="10">
        <f>+$F$17</f>
        <v>0</v>
      </c>
      <c r="U11" s="10">
        <f>+$F$24</f>
        <v>0</v>
      </c>
      <c r="V11" s="10">
        <f>+$F$31</f>
        <v>0</v>
      </c>
      <c r="W11" s="10">
        <f>+$F$38</f>
        <v>0</v>
      </c>
      <c r="X11" s="10">
        <f>+$F$45</f>
        <v>0</v>
      </c>
      <c r="Y11" s="10">
        <f>+$F$52</f>
        <v>0</v>
      </c>
      <c r="Z11" s="10"/>
      <c r="AA11" s="10"/>
      <c r="AB11" s="10"/>
    </row>
    <row r="12" spans="1:30" x14ac:dyDescent="0.3">
      <c r="A12" s="4" t="s">
        <v>9</v>
      </c>
      <c r="B12" s="5">
        <v>89.323999999999998</v>
      </c>
      <c r="C12" s="5">
        <f>+B19</f>
        <v>94.963999999999999</v>
      </c>
      <c r="D12" s="5">
        <f t="shared" ref="D12:K12" si="3">+C19</f>
        <v>99.376000000000005</v>
      </c>
      <c r="E12" s="5">
        <f t="shared" si="3"/>
        <v>103.29900000000001</v>
      </c>
      <c r="F12" s="5">
        <f t="shared" si="3"/>
        <v>106.74299999999999</v>
      </c>
      <c r="G12" s="5">
        <f t="shared" si="3"/>
        <v>113.018</v>
      </c>
      <c r="H12" s="5">
        <f t="shared" si="3"/>
        <v>122.044</v>
      </c>
      <c r="I12" s="5">
        <f t="shared" si="3"/>
        <v>128.214</v>
      </c>
      <c r="J12" s="5">
        <f t="shared" si="3"/>
        <v>134.59399999999999</v>
      </c>
      <c r="K12" s="5">
        <f t="shared" si="3"/>
        <v>140.405</v>
      </c>
      <c r="L12" s="26"/>
      <c r="N12" s="18">
        <v>2019</v>
      </c>
      <c r="O12" s="23"/>
      <c r="P12" s="21"/>
      <c r="Q12" s="21"/>
      <c r="R12" s="21"/>
      <c r="S12" s="21"/>
      <c r="T12" s="17">
        <v>0</v>
      </c>
      <c r="U12" s="17">
        <v>0</v>
      </c>
      <c r="V12" s="17">
        <v>0</v>
      </c>
      <c r="W12" s="17">
        <v>0</v>
      </c>
      <c r="X12" s="17">
        <v>0</v>
      </c>
      <c r="Y12" s="17">
        <v>0</v>
      </c>
    </row>
    <row r="13" spans="1:30" x14ac:dyDescent="0.3">
      <c r="A13" s="4" t="s">
        <v>10</v>
      </c>
      <c r="B13" s="5">
        <f t="shared" ref="B13:K13" si="4">+B6</f>
        <v>89.046999999999997</v>
      </c>
      <c r="C13" s="5">
        <f t="shared" si="4"/>
        <v>92.039000000000001</v>
      </c>
      <c r="D13" s="5">
        <f t="shared" si="4"/>
        <v>98.272999999999996</v>
      </c>
      <c r="E13" s="5">
        <f t="shared" si="4"/>
        <v>103.02</v>
      </c>
      <c r="F13" s="5">
        <f t="shared" si="4"/>
        <v>105.934</v>
      </c>
      <c r="G13" s="5">
        <f t="shared" si="4"/>
        <v>109.271</v>
      </c>
      <c r="H13" s="5">
        <f t="shared" si="4"/>
        <v>117.30800000000001</v>
      </c>
      <c r="I13" s="5">
        <f t="shared" si="4"/>
        <v>126.47799999999999</v>
      </c>
      <c r="J13" s="5">
        <f t="shared" si="4"/>
        <v>132.37299999999999</v>
      </c>
      <c r="K13" s="5">
        <f t="shared" si="4"/>
        <v>137.94900000000001</v>
      </c>
      <c r="L13" s="26"/>
      <c r="N13" t="s">
        <v>35</v>
      </c>
      <c r="O13" s="22"/>
      <c r="P13" s="24"/>
      <c r="Q13" s="24"/>
      <c r="R13" s="24"/>
      <c r="S13" s="24"/>
      <c r="T13" s="10">
        <f>+$G$10</f>
        <v>0</v>
      </c>
      <c r="U13" s="10">
        <f>+$G$17</f>
        <v>0</v>
      </c>
      <c r="V13" s="10">
        <f>+$G$24</f>
        <v>0</v>
      </c>
      <c r="W13" s="10">
        <f>+$G$31</f>
        <v>0</v>
      </c>
      <c r="X13" s="10">
        <f>+$G$38</f>
        <v>0</v>
      </c>
      <c r="Y13" s="10">
        <f>+$G$45</f>
        <v>0</v>
      </c>
      <c r="Z13" s="10"/>
      <c r="AA13" s="10"/>
      <c r="AB13" s="10"/>
      <c r="AC13" s="10"/>
    </row>
    <row r="14" spans="1:30" x14ac:dyDescent="0.3">
      <c r="A14" s="4" t="s">
        <v>5</v>
      </c>
      <c r="B14" s="5">
        <f>+B12/B13</f>
        <v>1.0031107168124698</v>
      </c>
      <c r="C14" s="5">
        <f t="shared" ref="C14:K14" si="5">+C12/C13</f>
        <v>1.0317800063016764</v>
      </c>
      <c r="D14" s="5">
        <f t="shared" si="5"/>
        <v>1.0112238356415293</v>
      </c>
      <c r="E14" s="5">
        <f t="shared" si="5"/>
        <v>1.0027082119976705</v>
      </c>
      <c r="F14" s="5">
        <f t="shared" si="5"/>
        <v>1.007636830479355</v>
      </c>
      <c r="G14" s="5">
        <f t="shared" si="5"/>
        <v>1.0342908914533591</v>
      </c>
      <c r="H14" s="5">
        <f t="shared" si="5"/>
        <v>1.0403723531216966</v>
      </c>
      <c r="I14" s="5">
        <f t="shared" si="5"/>
        <v>1.0137257072376225</v>
      </c>
      <c r="J14" s="5">
        <f t="shared" si="5"/>
        <v>1.0167783460373339</v>
      </c>
      <c r="K14" s="5">
        <f t="shared" si="5"/>
        <v>1.0178036810705404</v>
      </c>
      <c r="L14" s="26"/>
      <c r="N14" s="18">
        <v>2020</v>
      </c>
      <c r="O14" s="23"/>
      <c r="P14" s="21"/>
      <c r="Q14" s="21"/>
      <c r="R14" s="21"/>
      <c r="S14" s="21"/>
      <c r="T14" s="21"/>
      <c r="U14" s="17">
        <v>0</v>
      </c>
      <c r="V14" s="17">
        <v>0</v>
      </c>
      <c r="W14" s="17">
        <v>0</v>
      </c>
      <c r="X14" s="17">
        <v>0</v>
      </c>
      <c r="Y14" s="17">
        <v>0</v>
      </c>
    </row>
    <row r="15" spans="1:30" x14ac:dyDescent="0.3">
      <c r="A15" s="6" t="s">
        <v>11</v>
      </c>
      <c r="B15" s="7">
        <f>+B14*B10</f>
        <v>0</v>
      </c>
      <c r="C15" s="7">
        <f t="shared" ref="C15:K15" si="6">+C14*C10</f>
        <v>0</v>
      </c>
      <c r="D15" s="7">
        <f t="shared" si="6"/>
        <v>0</v>
      </c>
      <c r="E15" s="7">
        <f t="shared" si="6"/>
        <v>0</v>
      </c>
      <c r="F15" s="7">
        <f t="shared" si="6"/>
        <v>0</v>
      </c>
      <c r="G15" s="7">
        <f t="shared" si="6"/>
        <v>0</v>
      </c>
      <c r="H15" s="7">
        <f t="shared" si="6"/>
        <v>0</v>
      </c>
      <c r="I15" s="7">
        <f t="shared" si="6"/>
        <v>0</v>
      </c>
      <c r="J15" s="7">
        <f t="shared" si="6"/>
        <v>0</v>
      </c>
      <c r="K15" s="7">
        <f t="shared" si="6"/>
        <v>0</v>
      </c>
      <c r="L15" s="27"/>
      <c r="N15" t="s">
        <v>35</v>
      </c>
      <c r="O15" s="22"/>
      <c r="P15" s="24"/>
      <c r="Q15" s="24"/>
      <c r="R15" s="24"/>
      <c r="S15" s="24"/>
      <c r="U15" s="10">
        <f>+$H$10</f>
        <v>0</v>
      </c>
      <c r="V15" s="10">
        <f>+$H$17</f>
        <v>0</v>
      </c>
      <c r="W15" s="10">
        <f>+$H$24</f>
        <v>0</v>
      </c>
      <c r="X15" s="10">
        <f>+$H$31</f>
        <v>0</v>
      </c>
      <c r="Y15" s="10">
        <f>+$H$38</f>
        <v>0</v>
      </c>
      <c r="Z15" s="10"/>
      <c r="AA15" s="10"/>
      <c r="AB15" s="10"/>
      <c r="AC15" s="10"/>
      <c r="AD15" s="10"/>
    </row>
    <row r="16" spans="1:30" x14ac:dyDescent="0.3">
      <c r="A16" s="6" t="s">
        <v>12</v>
      </c>
      <c r="B16" s="14">
        <f>+P4</f>
        <v>0</v>
      </c>
      <c r="C16" s="14">
        <f>+Q6</f>
        <v>0</v>
      </c>
      <c r="D16" s="14">
        <f>+R8</f>
        <v>0</v>
      </c>
      <c r="E16" s="14">
        <f>+S10</f>
        <v>0</v>
      </c>
      <c r="F16" s="14">
        <f>+T12</f>
        <v>0</v>
      </c>
      <c r="G16" s="14">
        <f>+U14</f>
        <v>0</v>
      </c>
      <c r="H16" s="14">
        <f>+V16</f>
        <v>0</v>
      </c>
      <c r="I16" s="14">
        <f>+W18</f>
        <v>0</v>
      </c>
      <c r="J16" s="14">
        <f>+X20</f>
        <v>0</v>
      </c>
      <c r="K16" s="14">
        <f>+Y22</f>
        <v>0</v>
      </c>
      <c r="L16" s="28"/>
      <c r="N16" s="18">
        <v>2021</v>
      </c>
      <c r="O16" s="23"/>
      <c r="P16" s="21"/>
      <c r="Q16" s="21"/>
      <c r="R16" s="21"/>
      <c r="S16" s="21"/>
      <c r="T16" s="21"/>
      <c r="U16" s="21"/>
      <c r="V16" s="17">
        <v>0</v>
      </c>
      <c r="W16" s="17">
        <v>0</v>
      </c>
      <c r="X16" s="17">
        <v>0</v>
      </c>
      <c r="Y16" s="17">
        <v>0</v>
      </c>
    </row>
    <row r="17" spans="1:34" x14ac:dyDescent="0.3">
      <c r="A17" s="8" t="s">
        <v>7</v>
      </c>
      <c r="B17" s="7">
        <f>+B15-B16</f>
        <v>0</v>
      </c>
      <c r="C17" s="7">
        <f t="shared" ref="C17:K17" si="7">+C15-C16</f>
        <v>0</v>
      </c>
      <c r="D17" s="7">
        <f t="shared" si="7"/>
        <v>0</v>
      </c>
      <c r="E17" s="7">
        <f t="shared" si="7"/>
        <v>0</v>
      </c>
      <c r="F17" s="7">
        <f t="shared" si="7"/>
        <v>0</v>
      </c>
      <c r="G17" s="7">
        <f t="shared" si="7"/>
        <v>0</v>
      </c>
      <c r="H17" s="7">
        <f t="shared" si="7"/>
        <v>0</v>
      </c>
      <c r="I17" s="7">
        <f t="shared" si="7"/>
        <v>0</v>
      </c>
      <c r="J17" s="7">
        <f t="shared" si="7"/>
        <v>0</v>
      </c>
      <c r="K17" s="7">
        <f t="shared" si="7"/>
        <v>0</v>
      </c>
      <c r="L17" s="27"/>
      <c r="N17" t="s">
        <v>35</v>
      </c>
      <c r="O17" s="22"/>
      <c r="P17" s="24"/>
      <c r="Q17" s="24"/>
      <c r="R17" s="24"/>
      <c r="S17" s="24"/>
      <c r="T17" s="24"/>
      <c r="U17" s="24"/>
      <c r="V17" s="10">
        <f>+$I$10</f>
        <v>0</v>
      </c>
      <c r="W17" s="10">
        <f>+$I$17</f>
        <v>0</v>
      </c>
      <c r="X17" s="10">
        <f>+$I$24</f>
        <v>0</v>
      </c>
      <c r="Y17" s="10">
        <f>+$I$31</f>
        <v>0</v>
      </c>
      <c r="Z17" s="10"/>
      <c r="AA17" s="10"/>
      <c r="AB17" s="10"/>
      <c r="AC17" s="10"/>
      <c r="AD17" s="10"/>
      <c r="AE17" s="10"/>
    </row>
    <row r="18" spans="1:34" x14ac:dyDescent="0.3">
      <c r="A18" s="2" t="s">
        <v>13</v>
      </c>
      <c r="B18" s="9"/>
      <c r="C18" s="9"/>
      <c r="D18" s="9"/>
      <c r="E18" s="9"/>
      <c r="F18" s="9"/>
      <c r="G18" s="9"/>
      <c r="H18" s="9"/>
      <c r="I18" s="9"/>
      <c r="J18" s="9"/>
      <c r="K18" s="25"/>
      <c r="L18" s="25"/>
      <c r="N18" s="18">
        <v>2022</v>
      </c>
      <c r="O18" s="23"/>
      <c r="P18" s="21"/>
      <c r="Q18" s="21"/>
      <c r="R18" s="21"/>
      <c r="S18" s="21"/>
      <c r="T18" s="21"/>
      <c r="U18" s="21"/>
      <c r="V18" s="21"/>
      <c r="W18" s="17">
        <v>0</v>
      </c>
      <c r="X18" s="17">
        <v>0</v>
      </c>
      <c r="Y18" s="17">
        <v>0</v>
      </c>
    </row>
    <row r="19" spans="1:34" x14ac:dyDescent="0.3">
      <c r="A19" s="4" t="s">
        <v>9</v>
      </c>
      <c r="B19" s="5">
        <v>94.963999999999999</v>
      </c>
      <c r="C19" s="5">
        <f>+B26</f>
        <v>99.376000000000005</v>
      </c>
      <c r="D19" s="5">
        <f t="shared" ref="D19:J19" si="8">+C26</f>
        <v>103.29900000000001</v>
      </c>
      <c r="E19" s="5">
        <f t="shared" si="8"/>
        <v>106.74299999999999</v>
      </c>
      <c r="F19" s="5">
        <f t="shared" si="8"/>
        <v>113.018</v>
      </c>
      <c r="G19" s="5">
        <f t="shared" si="8"/>
        <v>122.044</v>
      </c>
      <c r="H19" s="5">
        <f t="shared" si="8"/>
        <v>128.214</v>
      </c>
      <c r="I19" s="5">
        <f t="shared" si="8"/>
        <v>134.59399999999999</v>
      </c>
      <c r="J19" s="5">
        <f t="shared" si="8"/>
        <v>140.405</v>
      </c>
      <c r="K19" s="26"/>
      <c r="L19" s="26"/>
      <c r="N19" t="s">
        <v>35</v>
      </c>
      <c r="O19" s="22"/>
      <c r="P19" s="24"/>
      <c r="Q19" s="24"/>
      <c r="R19" s="24"/>
      <c r="S19" s="24"/>
      <c r="T19" s="24"/>
      <c r="U19" s="24"/>
      <c r="W19" s="10">
        <f>+$J$10</f>
        <v>0</v>
      </c>
      <c r="X19" s="10">
        <f>+$J$17</f>
        <v>0</v>
      </c>
      <c r="Y19" s="10">
        <f>+$J$24</f>
        <v>0</v>
      </c>
      <c r="Z19" s="10"/>
      <c r="AA19" s="10"/>
      <c r="AB19" s="10"/>
      <c r="AC19" s="10"/>
      <c r="AD19" s="10"/>
      <c r="AE19" s="10"/>
      <c r="AF19" s="10"/>
    </row>
    <row r="20" spans="1:34" x14ac:dyDescent="0.3">
      <c r="A20" s="4" t="s">
        <v>14</v>
      </c>
      <c r="B20" s="5">
        <f>+B12</f>
        <v>89.323999999999998</v>
      </c>
      <c r="C20" s="5">
        <f>+C12</f>
        <v>94.963999999999999</v>
      </c>
      <c r="D20" s="5">
        <f t="shared" ref="D20:J20" si="9">+D12</f>
        <v>99.376000000000005</v>
      </c>
      <c r="E20" s="5">
        <f t="shared" si="9"/>
        <v>103.29900000000001</v>
      </c>
      <c r="F20" s="5">
        <f t="shared" si="9"/>
        <v>106.74299999999999</v>
      </c>
      <c r="G20" s="5">
        <f t="shared" si="9"/>
        <v>113.018</v>
      </c>
      <c r="H20" s="5">
        <f t="shared" si="9"/>
        <v>122.044</v>
      </c>
      <c r="I20" s="5">
        <f t="shared" si="9"/>
        <v>128.214</v>
      </c>
      <c r="J20" s="5">
        <f t="shared" si="9"/>
        <v>134.59399999999999</v>
      </c>
      <c r="K20" s="26"/>
      <c r="L20" s="26"/>
      <c r="N20" s="18">
        <v>2023</v>
      </c>
      <c r="O20" s="23"/>
      <c r="P20" s="21"/>
      <c r="Q20" s="21"/>
      <c r="R20" s="21"/>
      <c r="S20" s="21"/>
      <c r="T20" s="21"/>
      <c r="U20" s="21"/>
      <c r="V20" s="21"/>
      <c r="W20" s="21"/>
      <c r="X20" s="17">
        <v>0</v>
      </c>
      <c r="Y20" s="17">
        <v>0</v>
      </c>
    </row>
    <row r="21" spans="1:34" x14ac:dyDescent="0.3">
      <c r="A21" s="4" t="s">
        <v>5</v>
      </c>
      <c r="B21" s="5">
        <f>+B19/B20</f>
        <v>1.0631409251712867</v>
      </c>
      <c r="C21" s="5">
        <f t="shared" ref="C21" si="10">+C19/C20</f>
        <v>1.0464597110483973</v>
      </c>
      <c r="D21" s="5">
        <f t="shared" ref="D21" si="11">+D19/D20</f>
        <v>1.0394763323136371</v>
      </c>
      <c r="E21" s="5">
        <f t="shared" ref="E21" si="12">+E19/E20</f>
        <v>1.0333401097784101</v>
      </c>
      <c r="F21" s="5">
        <f t="shared" ref="F21" si="13">+F19/F20</f>
        <v>1.0587860562285116</v>
      </c>
      <c r="G21" s="5">
        <f t="shared" ref="G21" si="14">+G19/G20</f>
        <v>1.0798633845936045</v>
      </c>
      <c r="H21" s="5">
        <f t="shared" ref="H21" si="15">+H19/H20</f>
        <v>1.0505555373471862</v>
      </c>
      <c r="I21" s="5">
        <f t="shared" ref="I21" si="16">+I19/I20</f>
        <v>1.0497605565694854</v>
      </c>
      <c r="J21" s="5">
        <f t="shared" ref="J21" si="17">+J19/J20</f>
        <v>1.0431742871153247</v>
      </c>
      <c r="K21" s="26"/>
      <c r="L21" s="26"/>
      <c r="N21" t="s">
        <v>35</v>
      </c>
      <c r="O21" s="22"/>
      <c r="P21" s="24"/>
      <c r="Q21" s="24"/>
      <c r="R21" s="24"/>
      <c r="S21" s="24"/>
      <c r="T21" s="24"/>
      <c r="U21" s="24"/>
      <c r="V21" s="24"/>
      <c r="W21" s="24"/>
      <c r="X21" s="10">
        <f>+$K$10</f>
        <v>0</v>
      </c>
      <c r="Y21" s="10">
        <f>+$K$17</f>
        <v>0</v>
      </c>
      <c r="Z21" s="10"/>
      <c r="AA21" s="10"/>
      <c r="AB21" s="10"/>
      <c r="AC21" s="10"/>
      <c r="AD21" s="10"/>
      <c r="AE21" s="10"/>
      <c r="AF21" s="10"/>
      <c r="AG21" s="10"/>
    </row>
    <row r="22" spans="1:34" x14ac:dyDescent="0.3">
      <c r="A22" s="6" t="s">
        <v>15</v>
      </c>
      <c r="B22" s="7">
        <f>+B21*B17</f>
        <v>0</v>
      </c>
      <c r="C22" s="7">
        <f t="shared" ref="C22" si="18">+C21*C17</f>
        <v>0</v>
      </c>
      <c r="D22" s="7">
        <f t="shared" ref="D22" si="19">+D21*D17</f>
        <v>0</v>
      </c>
      <c r="E22" s="7">
        <f t="shared" ref="E22" si="20">+E21*E17</f>
        <v>0</v>
      </c>
      <c r="F22" s="7">
        <f t="shared" ref="F22" si="21">+F21*F17</f>
        <v>0</v>
      </c>
      <c r="G22" s="7">
        <f t="shared" ref="G22" si="22">+G21*G17</f>
        <v>0</v>
      </c>
      <c r="H22" s="7">
        <f t="shared" ref="H22" si="23">+H21*H17</f>
        <v>0</v>
      </c>
      <c r="I22" s="7">
        <f t="shared" ref="I22" si="24">+I21*I17</f>
        <v>0</v>
      </c>
      <c r="J22" s="7">
        <f t="shared" ref="J22" si="25">+J21*J17</f>
        <v>0</v>
      </c>
      <c r="K22" s="27"/>
      <c r="L22" s="27"/>
      <c r="N22" s="18">
        <v>2024</v>
      </c>
      <c r="O22" s="23"/>
      <c r="P22" s="21"/>
      <c r="Q22" s="21"/>
      <c r="R22" s="21"/>
      <c r="S22" s="21"/>
      <c r="T22" s="21"/>
      <c r="U22" s="21"/>
      <c r="V22" s="21"/>
      <c r="W22" s="21"/>
      <c r="X22" s="21"/>
      <c r="Y22" s="17">
        <v>0</v>
      </c>
    </row>
    <row r="23" spans="1:34" x14ac:dyDescent="0.3">
      <c r="A23" s="6" t="s">
        <v>12</v>
      </c>
      <c r="B23" s="14">
        <f>+Q4</f>
        <v>0</v>
      </c>
      <c r="C23" s="14">
        <f>+R6</f>
        <v>0</v>
      </c>
      <c r="D23" s="14">
        <f>+S8</f>
        <v>0</v>
      </c>
      <c r="E23" s="14">
        <f>+T10</f>
        <v>0</v>
      </c>
      <c r="F23" s="14">
        <f>+U12</f>
        <v>0</v>
      </c>
      <c r="G23" s="14">
        <f>+V14</f>
        <v>0</v>
      </c>
      <c r="H23" s="14">
        <f>+W16</f>
        <v>0</v>
      </c>
      <c r="I23" s="14">
        <f>+X18</f>
        <v>0</v>
      </c>
      <c r="J23" s="14">
        <f>+Y20</f>
        <v>0</v>
      </c>
      <c r="K23" s="28"/>
      <c r="L23" s="28"/>
      <c r="N23" t="s">
        <v>35</v>
      </c>
      <c r="O23" s="22"/>
      <c r="P23" s="24"/>
      <c r="Q23" s="24"/>
      <c r="R23" s="24"/>
      <c r="S23" s="24"/>
      <c r="T23" s="24"/>
      <c r="U23" s="24"/>
      <c r="V23" s="24"/>
      <c r="W23" s="24"/>
      <c r="Y23" s="10">
        <f>+$L$10</f>
        <v>0</v>
      </c>
      <c r="Z23" s="10"/>
      <c r="AA23" s="10"/>
      <c r="AB23" s="10"/>
      <c r="AC23" s="10"/>
      <c r="AD23" s="10"/>
      <c r="AE23" s="10"/>
      <c r="AF23" s="10"/>
      <c r="AG23" s="10"/>
      <c r="AH23" s="10"/>
    </row>
    <row r="24" spans="1:34" x14ac:dyDescent="0.3">
      <c r="A24" s="8" t="s">
        <v>7</v>
      </c>
      <c r="B24" s="7">
        <f>+B22-B23</f>
        <v>0</v>
      </c>
      <c r="C24" s="7">
        <f t="shared" ref="C24" si="26">+C22-C23</f>
        <v>0</v>
      </c>
      <c r="D24" s="7">
        <f t="shared" ref="D24" si="27">+D22-D23</f>
        <v>0</v>
      </c>
      <c r="E24" s="7">
        <f t="shared" ref="E24" si="28">+E22-E23</f>
        <v>0</v>
      </c>
      <c r="F24" s="7">
        <f t="shared" ref="F24" si="29">+F22-F23</f>
        <v>0</v>
      </c>
      <c r="G24" s="7">
        <f t="shared" ref="G24" si="30">+G22-G23</f>
        <v>0</v>
      </c>
      <c r="H24" s="7">
        <f t="shared" ref="H24" si="31">+H22-H23</f>
        <v>0</v>
      </c>
      <c r="I24" s="7">
        <f t="shared" ref="I24" si="32">+I22-I23</f>
        <v>0</v>
      </c>
      <c r="J24" s="7">
        <f t="shared" ref="J24" si="33">+J22-J23</f>
        <v>0</v>
      </c>
      <c r="K24" s="27"/>
      <c r="L24" s="27"/>
      <c r="N24" s="18">
        <v>2025</v>
      </c>
      <c r="O24" s="23"/>
      <c r="P24" s="21"/>
      <c r="Q24" s="21"/>
      <c r="R24" s="21"/>
      <c r="S24" s="21"/>
      <c r="T24" s="21"/>
      <c r="U24" s="21"/>
      <c r="V24" s="21"/>
      <c r="W24" s="21"/>
      <c r="X24" s="21"/>
      <c r="Y24" s="21"/>
    </row>
    <row r="25" spans="1:34" x14ac:dyDescent="0.3">
      <c r="A25" s="2" t="s">
        <v>16</v>
      </c>
      <c r="B25" s="9"/>
      <c r="C25" s="9"/>
      <c r="D25" s="9"/>
      <c r="E25" s="9"/>
      <c r="F25" s="9"/>
      <c r="G25" s="9"/>
      <c r="H25" s="9"/>
      <c r="I25" s="9"/>
      <c r="J25" s="25"/>
      <c r="K25" s="25"/>
      <c r="L25" s="25"/>
    </row>
    <row r="26" spans="1:34" x14ac:dyDescent="0.3">
      <c r="A26" s="4" t="s">
        <v>9</v>
      </c>
      <c r="B26" s="5">
        <v>99.376000000000005</v>
      </c>
      <c r="C26" s="5">
        <f t="shared" ref="C26:I26" si="34">+B33</f>
        <v>103.29900000000001</v>
      </c>
      <c r="D26" s="5">
        <f t="shared" si="34"/>
        <v>106.74299999999999</v>
      </c>
      <c r="E26" s="5">
        <f t="shared" si="34"/>
        <v>113.018</v>
      </c>
      <c r="F26" s="5">
        <f t="shared" si="34"/>
        <v>122.044</v>
      </c>
      <c r="G26" s="5">
        <f t="shared" si="34"/>
        <v>128.214</v>
      </c>
      <c r="H26" s="5">
        <f t="shared" si="34"/>
        <v>134.59399999999999</v>
      </c>
      <c r="I26" s="5">
        <f t="shared" si="34"/>
        <v>140.405</v>
      </c>
      <c r="J26" s="26"/>
      <c r="K26" s="26"/>
      <c r="L26" s="26"/>
      <c r="R26" s="10">
        <f>+B3</f>
        <v>0</v>
      </c>
    </row>
    <row r="27" spans="1:34" x14ac:dyDescent="0.3">
      <c r="A27" s="4" t="s">
        <v>14</v>
      </c>
      <c r="B27" s="5">
        <f>+B19</f>
        <v>94.963999999999999</v>
      </c>
      <c r="C27" s="5">
        <f t="shared" ref="C27:I27" si="35">+C19</f>
        <v>99.376000000000005</v>
      </c>
      <c r="D27" s="5">
        <f t="shared" si="35"/>
        <v>103.29900000000001</v>
      </c>
      <c r="E27" s="5">
        <f t="shared" si="35"/>
        <v>106.74299999999999</v>
      </c>
      <c r="F27" s="5">
        <f t="shared" si="35"/>
        <v>113.018</v>
      </c>
      <c r="G27" s="5">
        <f t="shared" si="35"/>
        <v>122.044</v>
      </c>
      <c r="H27" s="5">
        <f t="shared" si="35"/>
        <v>128.214</v>
      </c>
      <c r="I27" s="5">
        <f t="shared" si="35"/>
        <v>134.59399999999999</v>
      </c>
      <c r="J27" s="26"/>
      <c r="K27" s="26"/>
      <c r="L27" s="26"/>
      <c r="S27" t="s">
        <v>34</v>
      </c>
      <c r="T27" t="s">
        <v>31</v>
      </c>
      <c r="V27" t="s">
        <v>32</v>
      </c>
    </row>
    <row r="28" spans="1:34" x14ac:dyDescent="0.3">
      <c r="A28" s="4" t="s">
        <v>5</v>
      </c>
      <c r="B28" s="5">
        <f>+B26/B27</f>
        <v>1.0464597110483973</v>
      </c>
      <c r="C28" s="5">
        <f t="shared" ref="C28" si="36">+C26/C27</f>
        <v>1.0394763323136371</v>
      </c>
      <c r="D28" s="5">
        <f t="shared" ref="D28" si="37">+D26/D27</f>
        <v>1.0333401097784101</v>
      </c>
      <c r="E28" s="5">
        <f t="shared" ref="E28" si="38">+E26/E27</f>
        <v>1.0587860562285116</v>
      </c>
      <c r="F28" s="5">
        <f t="shared" ref="F28" si="39">+F26/F27</f>
        <v>1.0798633845936045</v>
      </c>
      <c r="G28" s="5">
        <f t="shared" ref="G28" si="40">+G26/G27</f>
        <v>1.0505555373471862</v>
      </c>
      <c r="H28" s="5">
        <f t="shared" ref="H28" si="41">+H26/H27</f>
        <v>1.0497605565694854</v>
      </c>
      <c r="I28" s="5">
        <f t="shared" ref="I28" si="42">+I26/I27</f>
        <v>1.0431742871153247</v>
      </c>
      <c r="J28" s="26"/>
      <c r="K28" s="26"/>
      <c r="L28" s="26"/>
      <c r="N28">
        <v>2019</v>
      </c>
      <c r="O28" s="16">
        <v>48000</v>
      </c>
      <c r="S28" s="16">
        <f>+F31</f>
        <v>0</v>
      </c>
      <c r="T28">
        <v>2016</v>
      </c>
      <c r="U28">
        <v>2015</v>
      </c>
      <c r="V28" s="16">
        <v>20000</v>
      </c>
    </row>
    <row r="29" spans="1:34" x14ac:dyDescent="0.3">
      <c r="A29" s="6" t="s">
        <v>17</v>
      </c>
      <c r="B29" s="7">
        <f>+B28*B24</f>
        <v>0</v>
      </c>
      <c r="C29" s="7">
        <f t="shared" ref="C29" si="43">+C28*C24</f>
        <v>0</v>
      </c>
      <c r="D29" s="7">
        <f t="shared" ref="D29" si="44">+D28*D24</f>
        <v>0</v>
      </c>
      <c r="E29" s="7">
        <f t="shared" ref="E29" si="45">+E28*E24</f>
        <v>0</v>
      </c>
      <c r="F29" s="7">
        <f t="shared" ref="F29" si="46">+F28*F24</f>
        <v>0</v>
      </c>
      <c r="G29" s="7">
        <f t="shared" ref="G29" si="47">+G28*G24</f>
        <v>0</v>
      </c>
      <c r="H29" s="7">
        <f t="shared" ref="H29" si="48">+H28*H24</f>
        <v>0</v>
      </c>
      <c r="I29" s="7">
        <f t="shared" ref="I29" si="49">+I28*I24</f>
        <v>0</v>
      </c>
      <c r="J29" s="27"/>
      <c r="K29" s="27"/>
      <c r="L29" s="27"/>
      <c r="O29" s="16"/>
      <c r="T29">
        <v>2017</v>
      </c>
      <c r="V29" s="16">
        <v>15000</v>
      </c>
    </row>
    <row r="30" spans="1:34" x14ac:dyDescent="0.3">
      <c r="A30" s="6" t="s">
        <v>12</v>
      </c>
      <c r="B30" s="14">
        <v>0</v>
      </c>
      <c r="C30" s="14">
        <f>+S6</f>
        <v>0</v>
      </c>
      <c r="D30" s="14">
        <f>+T8</f>
        <v>0</v>
      </c>
      <c r="E30" s="14">
        <f>+U10</f>
        <v>0</v>
      </c>
      <c r="F30" s="14">
        <f>+V12</f>
        <v>0</v>
      </c>
      <c r="G30" s="14">
        <f>+W14</f>
        <v>0</v>
      </c>
      <c r="H30" s="14">
        <f>+X16</f>
        <v>0</v>
      </c>
      <c r="I30" s="14">
        <f>+Y18</f>
        <v>0</v>
      </c>
      <c r="J30" s="28"/>
      <c r="K30" s="28"/>
      <c r="L30" s="28"/>
      <c r="O30" s="16"/>
      <c r="T30">
        <v>2018</v>
      </c>
      <c r="V30" s="16">
        <v>1920.78</v>
      </c>
    </row>
    <row r="31" spans="1:34" x14ac:dyDescent="0.3">
      <c r="A31" s="8" t="s">
        <v>7</v>
      </c>
      <c r="B31" s="7">
        <f>+B29-B30</f>
        <v>0</v>
      </c>
      <c r="C31" s="7">
        <f t="shared" ref="C31" si="50">+C29-C30</f>
        <v>0</v>
      </c>
      <c r="D31" s="7">
        <f t="shared" ref="D31" si="51">+D29-D30</f>
        <v>0</v>
      </c>
      <c r="E31" s="7">
        <f t="shared" ref="E31" si="52">+E29-E30</f>
        <v>0</v>
      </c>
      <c r="F31" s="7">
        <f t="shared" ref="F31" si="53">+F29-F30</f>
        <v>0</v>
      </c>
      <c r="G31" s="7">
        <f t="shared" ref="G31" si="54">+G29-G30</f>
        <v>0</v>
      </c>
      <c r="H31" s="7">
        <f t="shared" ref="H31" si="55">+H29-H30</f>
        <v>0</v>
      </c>
      <c r="I31" s="7">
        <f t="shared" ref="I31" si="56">+I29-I30</f>
        <v>0</v>
      </c>
      <c r="J31" s="27"/>
      <c r="K31" s="27"/>
      <c r="L31" s="27"/>
      <c r="O31" s="16"/>
      <c r="Q31" s="16"/>
    </row>
    <row r="32" spans="1:34" x14ac:dyDescent="0.3">
      <c r="A32" s="2" t="s">
        <v>18</v>
      </c>
      <c r="B32" s="9"/>
      <c r="C32" s="9"/>
      <c r="D32" s="9"/>
      <c r="E32" s="9"/>
      <c r="F32" s="9"/>
      <c r="G32" s="9"/>
      <c r="H32" s="9"/>
      <c r="I32" s="25"/>
      <c r="J32" s="25"/>
      <c r="K32" s="25"/>
      <c r="L32" s="25"/>
      <c r="N32" t="s">
        <v>31</v>
      </c>
      <c r="O32" t="s">
        <v>37</v>
      </c>
      <c r="Q32" t="s">
        <v>33</v>
      </c>
    </row>
    <row r="33" spans="1:19" x14ac:dyDescent="0.3">
      <c r="A33" s="4" t="s">
        <v>9</v>
      </c>
      <c r="B33" s="5">
        <v>103.29900000000001</v>
      </c>
      <c r="C33" s="5">
        <f t="shared" ref="C33:H33" si="57">+B40</f>
        <v>106.74299999999999</v>
      </c>
      <c r="D33" s="5">
        <f t="shared" si="57"/>
        <v>113.018</v>
      </c>
      <c r="E33" s="5">
        <f t="shared" si="57"/>
        <v>122.044</v>
      </c>
      <c r="F33" s="5">
        <f t="shared" si="57"/>
        <v>128.214</v>
      </c>
      <c r="G33" s="5">
        <f t="shared" si="57"/>
        <v>134.59399999999999</v>
      </c>
      <c r="H33" s="5">
        <f t="shared" si="57"/>
        <v>140.405</v>
      </c>
      <c r="I33" s="26"/>
      <c r="J33" s="26"/>
      <c r="K33" s="26"/>
      <c r="L33" s="26"/>
      <c r="N33" s="18">
        <v>2015</v>
      </c>
      <c r="O33" s="13">
        <v>0</v>
      </c>
      <c r="P33" s="16"/>
      <c r="Q33" s="10">
        <f>+Y3</f>
        <v>0</v>
      </c>
    </row>
    <row r="34" spans="1:19" x14ac:dyDescent="0.3">
      <c r="A34" s="4" t="s">
        <v>14</v>
      </c>
      <c r="B34" s="5">
        <f>+B26</f>
        <v>99.376000000000005</v>
      </c>
      <c r="C34" s="5">
        <f t="shared" ref="C34:H34" si="58">+C26</f>
        <v>103.29900000000001</v>
      </c>
      <c r="D34" s="5">
        <f t="shared" si="58"/>
        <v>106.74299999999999</v>
      </c>
      <c r="E34" s="5">
        <f t="shared" si="58"/>
        <v>113.018</v>
      </c>
      <c r="F34" s="5">
        <f t="shared" si="58"/>
        <v>122.044</v>
      </c>
      <c r="G34" s="5">
        <f t="shared" si="58"/>
        <v>128.214</v>
      </c>
      <c r="H34" s="5">
        <f t="shared" si="58"/>
        <v>134.59399999999999</v>
      </c>
      <c r="I34" s="26"/>
      <c r="J34" s="26"/>
      <c r="K34" s="26"/>
      <c r="L34" s="26"/>
      <c r="N34" s="19">
        <v>2016</v>
      </c>
      <c r="O34" s="13">
        <v>0</v>
      </c>
      <c r="P34" s="16"/>
      <c r="Q34" s="10">
        <f>+Y5</f>
        <v>0</v>
      </c>
    </row>
    <row r="35" spans="1:19" x14ac:dyDescent="0.3">
      <c r="A35" s="4" t="s">
        <v>5</v>
      </c>
      <c r="B35" s="5">
        <f>+B33/B34</f>
        <v>1.0394763323136371</v>
      </c>
      <c r="C35" s="5">
        <f t="shared" ref="C35" si="59">+C33/C34</f>
        <v>1.0333401097784101</v>
      </c>
      <c r="D35" s="5">
        <f t="shared" ref="D35" si="60">+D33/D34</f>
        <v>1.0587860562285116</v>
      </c>
      <c r="E35" s="5">
        <f t="shared" ref="E35" si="61">+E33/E34</f>
        <v>1.0798633845936045</v>
      </c>
      <c r="F35" s="5">
        <f t="shared" ref="F35" si="62">+F33/F34</f>
        <v>1.0505555373471862</v>
      </c>
      <c r="G35" s="5">
        <f t="shared" ref="G35" si="63">+G33/G34</f>
        <v>1.0497605565694854</v>
      </c>
      <c r="H35" s="5">
        <f t="shared" ref="H35" si="64">+H33/H34</f>
        <v>1.0431742871153247</v>
      </c>
      <c r="I35" s="26"/>
      <c r="J35" s="26"/>
      <c r="K35" s="26"/>
      <c r="L35" s="26"/>
      <c r="N35" s="18">
        <v>2017</v>
      </c>
      <c r="O35" s="13">
        <v>0</v>
      </c>
      <c r="P35" s="16"/>
      <c r="Q35" s="10">
        <f>+Y7</f>
        <v>0</v>
      </c>
    </row>
    <row r="36" spans="1:19" x14ac:dyDescent="0.3">
      <c r="A36" s="6" t="s">
        <v>19</v>
      </c>
      <c r="B36" s="7">
        <f>+B35*B31</f>
        <v>0</v>
      </c>
      <c r="C36" s="7">
        <f t="shared" ref="C36" si="65">+C35*C31</f>
        <v>0</v>
      </c>
      <c r="D36" s="7">
        <f t="shared" ref="D36" si="66">+D35*D31</f>
        <v>0</v>
      </c>
      <c r="E36" s="7">
        <f t="shared" ref="E36" si="67">+E35*E31</f>
        <v>0</v>
      </c>
      <c r="F36" s="7">
        <f t="shared" ref="F36" si="68">+F35*F31</f>
        <v>0</v>
      </c>
      <c r="G36" s="7">
        <f t="shared" ref="G36" si="69">+G35*G31</f>
        <v>0</v>
      </c>
      <c r="H36" s="7">
        <f t="shared" ref="H36" si="70">+H35*H31</f>
        <v>0</v>
      </c>
      <c r="I36" s="27"/>
      <c r="J36" s="27"/>
      <c r="K36" s="27"/>
      <c r="L36" s="27"/>
      <c r="N36" s="19">
        <v>2018</v>
      </c>
      <c r="O36" s="13">
        <v>0</v>
      </c>
      <c r="P36" s="16"/>
      <c r="Q36" s="10">
        <f>+Y9</f>
        <v>0</v>
      </c>
    </row>
    <row r="37" spans="1:19" x14ac:dyDescent="0.3">
      <c r="A37" s="6" t="s">
        <v>12</v>
      </c>
      <c r="B37" s="14">
        <f>+S4</f>
        <v>0</v>
      </c>
      <c r="C37" s="14">
        <f>+T6</f>
        <v>0</v>
      </c>
      <c r="D37" s="14">
        <f>+U8</f>
        <v>0</v>
      </c>
      <c r="E37" s="14">
        <f>+V10</f>
        <v>0</v>
      </c>
      <c r="F37" s="14">
        <f>+W12</f>
        <v>0</v>
      </c>
      <c r="G37" s="14">
        <f>+X14</f>
        <v>0</v>
      </c>
      <c r="H37" s="14">
        <f>+Y16</f>
        <v>0</v>
      </c>
      <c r="I37" s="28"/>
      <c r="J37" s="28"/>
      <c r="K37" s="28"/>
      <c r="L37" s="28"/>
      <c r="N37" s="18">
        <v>2019</v>
      </c>
      <c r="O37" s="13">
        <v>0</v>
      </c>
      <c r="P37" s="16"/>
      <c r="Q37" s="10">
        <f>+Y11</f>
        <v>0</v>
      </c>
    </row>
    <row r="38" spans="1:19" x14ac:dyDescent="0.3">
      <c r="A38" s="8" t="s">
        <v>7</v>
      </c>
      <c r="B38" s="7">
        <f>+B36-B37</f>
        <v>0</v>
      </c>
      <c r="C38" s="7">
        <f t="shared" ref="C38" si="71">+C36-C37</f>
        <v>0</v>
      </c>
      <c r="D38" s="7">
        <f t="shared" ref="D38" si="72">+D36-D37</f>
        <v>0</v>
      </c>
      <c r="E38" s="7">
        <f t="shared" ref="E38" si="73">+E36-E37</f>
        <v>0</v>
      </c>
      <c r="F38" s="7">
        <f t="shared" ref="F38" si="74">+F36-F37</f>
        <v>0</v>
      </c>
      <c r="G38" s="7">
        <f t="shared" ref="G38" si="75">+G36-G37</f>
        <v>0</v>
      </c>
      <c r="H38" s="7">
        <f t="shared" ref="H38" si="76">+H36-H37</f>
        <v>0</v>
      </c>
      <c r="I38" s="27"/>
      <c r="J38" s="27"/>
      <c r="K38" s="27"/>
      <c r="L38" s="27"/>
      <c r="N38" s="19">
        <v>2020</v>
      </c>
      <c r="O38" s="13">
        <v>0</v>
      </c>
      <c r="P38" s="16"/>
      <c r="Q38" s="10">
        <f>+Y13</f>
        <v>0</v>
      </c>
    </row>
    <row r="39" spans="1:19" x14ac:dyDescent="0.3">
      <c r="A39" s="2" t="s">
        <v>20</v>
      </c>
      <c r="B39" s="9"/>
      <c r="C39" s="9"/>
      <c r="D39" s="9"/>
      <c r="E39" s="9"/>
      <c r="F39" s="9"/>
      <c r="G39" s="9"/>
      <c r="H39" s="25"/>
      <c r="I39" s="25"/>
      <c r="J39" s="25"/>
      <c r="K39" s="25"/>
      <c r="L39" s="25"/>
      <c r="N39" s="18">
        <v>2021</v>
      </c>
      <c r="O39" s="13">
        <v>0</v>
      </c>
      <c r="P39" s="16"/>
      <c r="Q39" s="10">
        <f>+Y15</f>
        <v>0</v>
      </c>
      <c r="R39" s="10">
        <f>+U4+U8+U10</f>
        <v>0</v>
      </c>
      <c r="S39" s="10">
        <f>+P39-R39</f>
        <v>0</v>
      </c>
    </row>
    <row r="40" spans="1:19" x14ac:dyDescent="0.3">
      <c r="A40" s="4" t="s">
        <v>9</v>
      </c>
      <c r="B40" s="5">
        <v>106.74299999999999</v>
      </c>
      <c r="C40" s="5">
        <f t="shared" ref="C40:G40" si="77">+B47</f>
        <v>113.018</v>
      </c>
      <c r="D40" s="5">
        <f t="shared" si="77"/>
        <v>122.044</v>
      </c>
      <c r="E40" s="5">
        <f t="shared" si="77"/>
        <v>128.214</v>
      </c>
      <c r="F40" s="5">
        <f t="shared" si="77"/>
        <v>134.59399999999999</v>
      </c>
      <c r="G40" s="5">
        <f t="shared" si="77"/>
        <v>140.405</v>
      </c>
      <c r="H40" s="26"/>
      <c r="I40" s="26"/>
      <c r="J40" s="26"/>
      <c r="K40" s="26"/>
      <c r="L40" s="26"/>
      <c r="N40" s="19">
        <v>2022</v>
      </c>
      <c r="O40" s="13">
        <v>0</v>
      </c>
      <c r="P40" s="16"/>
      <c r="Q40" s="10">
        <f>+Y17</f>
        <v>0</v>
      </c>
    </row>
    <row r="41" spans="1:19" x14ac:dyDescent="0.3">
      <c r="A41" s="4" t="s">
        <v>14</v>
      </c>
      <c r="B41" s="5">
        <f>+B33</f>
        <v>103.29900000000001</v>
      </c>
      <c r="C41" s="5">
        <f t="shared" ref="C41:G41" si="78">+C33</f>
        <v>106.74299999999999</v>
      </c>
      <c r="D41" s="5">
        <f t="shared" si="78"/>
        <v>113.018</v>
      </c>
      <c r="E41" s="5">
        <f t="shared" si="78"/>
        <v>122.044</v>
      </c>
      <c r="F41" s="5">
        <f t="shared" si="78"/>
        <v>128.214</v>
      </c>
      <c r="G41" s="5">
        <f t="shared" si="78"/>
        <v>134.59399999999999</v>
      </c>
      <c r="H41" s="26"/>
      <c r="I41" s="26"/>
      <c r="J41" s="26"/>
      <c r="K41" s="26"/>
      <c r="L41" s="26"/>
      <c r="N41" s="18">
        <v>2023</v>
      </c>
      <c r="O41" s="13">
        <v>0</v>
      </c>
      <c r="P41" s="16"/>
      <c r="Q41" s="10">
        <f>+Y19</f>
        <v>0</v>
      </c>
    </row>
    <row r="42" spans="1:19" x14ac:dyDescent="0.3">
      <c r="A42" s="4" t="s">
        <v>5</v>
      </c>
      <c r="B42" s="5">
        <f>+B40/B41</f>
        <v>1.0333401097784101</v>
      </c>
      <c r="C42" s="5">
        <f t="shared" ref="C42" si="79">+C40/C41</f>
        <v>1.0587860562285116</v>
      </c>
      <c r="D42" s="5">
        <f t="shared" ref="D42" si="80">+D40/D41</f>
        <v>1.0798633845936045</v>
      </c>
      <c r="E42" s="5">
        <f t="shared" ref="E42" si="81">+E40/E41</f>
        <v>1.0505555373471862</v>
      </c>
      <c r="F42" s="5">
        <f t="shared" ref="F42" si="82">+F40/F41</f>
        <v>1.0497605565694854</v>
      </c>
      <c r="G42" s="5">
        <f t="shared" ref="G42" si="83">+G40/G41</f>
        <v>1.0431742871153247</v>
      </c>
      <c r="H42" s="26"/>
      <c r="I42" s="26"/>
      <c r="J42" s="26"/>
      <c r="K42" s="26"/>
      <c r="L42" s="26"/>
      <c r="N42" s="19">
        <v>2024</v>
      </c>
      <c r="O42" s="13">
        <v>0</v>
      </c>
      <c r="P42" s="16"/>
      <c r="Q42" s="10">
        <f>+Y21</f>
        <v>0</v>
      </c>
    </row>
    <row r="43" spans="1:19" x14ac:dyDescent="0.3">
      <c r="A43" s="6" t="s">
        <v>21</v>
      </c>
      <c r="B43" s="7">
        <f>+B42*B38</f>
        <v>0</v>
      </c>
      <c r="C43" s="7">
        <f t="shared" ref="C43" si="84">+C42*C38</f>
        <v>0</v>
      </c>
      <c r="D43" s="7">
        <f t="shared" ref="D43" si="85">+D42*D38</f>
        <v>0</v>
      </c>
      <c r="E43" s="7">
        <f t="shared" ref="E43" si="86">+E42*E38</f>
        <v>0</v>
      </c>
      <c r="F43" s="7">
        <f t="shared" ref="F43" si="87">+F42*F38</f>
        <v>0</v>
      </c>
      <c r="G43" s="7">
        <f t="shared" ref="G43" si="88">+G42*G38</f>
        <v>0</v>
      </c>
      <c r="H43" s="27"/>
      <c r="I43" s="27"/>
      <c r="J43" s="27"/>
      <c r="K43" s="27"/>
      <c r="L43" s="27"/>
      <c r="N43" s="18">
        <v>2025</v>
      </c>
      <c r="O43" s="13">
        <v>0</v>
      </c>
      <c r="P43" s="16"/>
      <c r="Q43" s="10">
        <f>+Y23</f>
        <v>0</v>
      </c>
    </row>
    <row r="44" spans="1:19" x14ac:dyDescent="0.3">
      <c r="A44" s="6" t="s">
        <v>12</v>
      </c>
      <c r="B44" s="14">
        <f>+T4</f>
        <v>0</v>
      </c>
      <c r="C44" s="14">
        <f>+U6</f>
        <v>0</v>
      </c>
      <c r="D44" s="14">
        <f>+V8</f>
        <v>0</v>
      </c>
      <c r="E44" s="14">
        <f>+W10</f>
        <v>0</v>
      </c>
      <c r="F44" s="14">
        <f>+X12</f>
        <v>0</v>
      </c>
      <c r="G44" s="14">
        <f>+Y14</f>
        <v>0</v>
      </c>
      <c r="H44" s="28"/>
      <c r="I44" s="28"/>
      <c r="J44" s="28"/>
      <c r="K44" s="28"/>
      <c r="L44" s="28"/>
      <c r="O44" s="16"/>
      <c r="Q44" s="16"/>
    </row>
    <row r="45" spans="1:19" x14ac:dyDescent="0.3">
      <c r="A45" s="8" t="s">
        <v>7</v>
      </c>
      <c r="B45" s="7">
        <f>+B43-B44</f>
        <v>0</v>
      </c>
      <c r="C45" s="7">
        <f t="shared" ref="C45" si="89">+C43-C44</f>
        <v>0</v>
      </c>
      <c r="D45" s="7">
        <f t="shared" ref="D45" si="90">+D43-D44</f>
        <v>0</v>
      </c>
      <c r="E45" s="7">
        <f t="shared" ref="E45" si="91">+E43-E44</f>
        <v>0</v>
      </c>
      <c r="F45" s="7">
        <f t="shared" ref="F45" si="92">+F43-F44</f>
        <v>0</v>
      </c>
      <c r="G45" s="7">
        <f t="shared" ref="G45" si="93">+G43-G44</f>
        <v>0</v>
      </c>
      <c r="H45" s="27"/>
      <c r="I45" s="27"/>
      <c r="J45" s="27"/>
      <c r="K45" s="27"/>
      <c r="L45" s="27"/>
      <c r="O45" s="31" t="s">
        <v>36</v>
      </c>
      <c r="P45" s="20"/>
      <c r="Q45" s="16"/>
    </row>
    <row r="46" spans="1:19" x14ac:dyDescent="0.3">
      <c r="A46" s="2" t="s">
        <v>22</v>
      </c>
      <c r="B46" s="9"/>
      <c r="C46" s="9"/>
      <c r="D46" s="9"/>
      <c r="E46" s="9"/>
      <c r="F46" s="9"/>
      <c r="G46" s="25"/>
      <c r="H46" s="25"/>
      <c r="I46" s="25"/>
      <c r="J46" s="25"/>
      <c r="K46" s="25"/>
      <c r="L46" s="25"/>
      <c r="O46" s="16"/>
      <c r="Q46" s="16"/>
    </row>
    <row r="47" spans="1:19" x14ac:dyDescent="0.3">
      <c r="A47" s="4" t="s">
        <v>9</v>
      </c>
      <c r="B47" s="5">
        <v>113.018</v>
      </c>
      <c r="C47" s="5">
        <f t="shared" ref="C47:F47" si="94">+B54</f>
        <v>122.044</v>
      </c>
      <c r="D47" s="5">
        <f t="shared" si="94"/>
        <v>128.214</v>
      </c>
      <c r="E47" s="5">
        <f t="shared" si="94"/>
        <v>134.59399999999999</v>
      </c>
      <c r="F47" s="5">
        <f t="shared" si="94"/>
        <v>140.405</v>
      </c>
      <c r="G47" s="26"/>
      <c r="H47" s="26"/>
      <c r="I47" s="26"/>
      <c r="J47" s="26"/>
      <c r="K47" s="26"/>
      <c r="L47" s="26"/>
      <c r="O47" s="16"/>
      <c r="Q47" s="16"/>
    </row>
    <row r="48" spans="1:19" x14ac:dyDescent="0.3">
      <c r="A48" s="4" t="s">
        <v>14</v>
      </c>
      <c r="B48" s="5">
        <f t="shared" ref="B48:F48" si="95">+B40</f>
        <v>106.74299999999999</v>
      </c>
      <c r="C48" s="5">
        <f t="shared" si="95"/>
        <v>113.018</v>
      </c>
      <c r="D48" s="5">
        <f t="shared" si="95"/>
        <v>122.044</v>
      </c>
      <c r="E48" s="5">
        <f t="shared" si="95"/>
        <v>128.214</v>
      </c>
      <c r="F48" s="5">
        <f t="shared" si="95"/>
        <v>134.59399999999999</v>
      </c>
      <c r="G48" s="26"/>
      <c r="H48" s="26"/>
      <c r="I48" s="26"/>
      <c r="J48" s="26"/>
      <c r="K48" s="26"/>
      <c r="L48" s="26"/>
      <c r="O48" s="16"/>
      <c r="Q48" s="16"/>
    </row>
    <row r="49" spans="1:17" x14ac:dyDescent="0.3">
      <c r="A49" s="4" t="s">
        <v>5</v>
      </c>
      <c r="B49" s="5">
        <f t="shared" ref="B49" si="96">+B47/B48</f>
        <v>1.0587860562285116</v>
      </c>
      <c r="C49" s="5">
        <f t="shared" ref="C49" si="97">+C47/C48</f>
        <v>1.0798633845936045</v>
      </c>
      <c r="D49" s="5">
        <f t="shared" ref="D49" si="98">+D47/D48</f>
        <v>1.0505555373471862</v>
      </c>
      <c r="E49" s="5">
        <f t="shared" ref="E49" si="99">+E47/E48</f>
        <v>1.0497605565694854</v>
      </c>
      <c r="F49" s="5">
        <f t="shared" ref="F49" si="100">+F47/F48</f>
        <v>1.0431742871153247</v>
      </c>
      <c r="G49" s="26"/>
      <c r="H49" s="26"/>
      <c r="I49" s="26"/>
      <c r="J49" s="26"/>
      <c r="K49" s="26"/>
      <c r="L49" s="26"/>
      <c r="O49" s="16"/>
      <c r="Q49" s="16"/>
    </row>
    <row r="50" spans="1:17" x14ac:dyDescent="0.3">
      <c r="A50" s="6" t="s">
        <v>23</v>
      </c>
      <c r="B50" s="7">
        <f t="shared" ref="B50" si="101">+B49*B45</f>
        <v>0</v>
      </c>
      <c r="C50" s="7">
        <f t="shared" ref="C50" si="102">+C49*C45</f>
        <v>0</v>
      </c>
      <c r="D50" s="7">
        <f t="shared" ref="D50" si="103">+D49*D45</f>
        <v>0</v>
      </c>
      <c r="E50" s="7">
        <f t="shared" ref="E50" si="104">+E49*E45</f>
        <v>0</v>
      </c>
      <c r="F50" s="7">
        <f t="shared" ref="F50" si="105">+F49*F45</f>
        <v>0</v>
      </c>
      <c r="G50" s="27"/>
      <c r="H50" s="27"/>
      <c r="I50" s="27"/>
      <c r="J50" s="27"/>
      <c r="K50" s="27"/>
      <c r="L50" s="27"/>
      <c r="O50" s="16"/>
      <c r="Q50" s="16"/>
    </row>
    <row r="51" spans="1:17" x14ac:dyDescent="0.3">
      <c r="A51" s="6" t="s">
        <v>12</v>
      </c>
      <c r="B51" s="14">
        <f>+U4</f>
        <v>0</v>
      </c>
      <c r="C51" s="14">
        <f>+V6</f>
        <v>0</v>
      </c>
      <c r="D51" s="14">
        <f>+W8</f>
        <v>0</v>
      </c>
      <c r="E51" s="14">
        <f>+X10</f>
        <v>0</v>
      </c>
      <c r="F51" s="14">
        <f>+Y12</f>
        <v>0</v>
      </c>
      <c r="G51" s="28"/>
      <c r="H51" s="28"/>
      <c r="I51" s="28"/>
      <c r="J51" s="28"/>
      <c r="K51" s="28"/>
      <c r="L51" s="28"/>
      <c r="O51" s="16"/>
      <c r="Q51" s="16"/>
    </row>
    <row r="52" spans="1:17" x14ac:dyDescent="0.3">
      <c r="A52" s="8" t="s">
        <v>7</v>
      </c>
      <c r="B52" s="7">
        <f t="shared" ref="B52" si="106">+B50-B51</f>
        <v>0</v>
      </c>
      <c r="C52" s="7">
        <f t="shared" ref="C52" si="107">+C50-C51</f>
        <v>0</v>
      </c>
      <c r="D52" s="7">
        <f t="shared" ref="D52" si="108">+D50-D51</f>
        <v>0</v>
      </c>
      <c r="E52" s="7">
        <f t="shared" ref="E52" si="109">+E50-E51</f>
        <v>0</v>
      </c>
      <c r="F52" s="7">
        <f t="shared" ref="F52" si="110">+F50-F51</f>
        <v>0</v>
      </c>
      <c r="G52" s="27"/>
      <c r="H52" s="27"/>
      <c r="I52" s="27"/>
      <c r="J52" s="27"/>
      <c r="K52" s="27"/>
      <c r="L52" s="27"/>
      <c r="Q52" s="16"/>
    </row>
    <row r="53" spans="1:17" x14ac:dyDescent="0.3">
      <c r="A53" s="2" t="s">
        <v>24</v>
      </c>
      <c r="B53" s="9"/>
      <c r="C53" s="9"/>
      <c r="D53" s="9"/>
      <c r="E53" s="9"/>
      <c r="F53" s="25"/>
      <c r="G53" s="25"/>
      <c r="H53" s="25"/>
      <c r="I53" s="25"/>
      <c r="J53" s="25"/>
      <c r="K53" s="25"/>
      <c r="L53" s="25"/>
      <c r="Q53" s="16"/>
    </row>
    <row r="54" spans="1:17" x14ac:dyDescent="0.3">
      <c r="A54" s="4" t="s">
        <v>9</v>
      </c>
      <c r="B54" s="5">
        <v>122.044</v>
      </c>
      <c r="C54" s="5">
        <f t="shared" ref="C54:E54" si="111">+B61</f>
        <v>128.214</v>
      </c>
      <c r="D54" s="5">
        <f t="shared" si="111"/>
        <v>134.59399999999999</v>
      </c>
      <c r="E54" s="5">
        <f t="shared" si="111"/>
        <v>140.405</v>
      </c>
      <c r="F54" s="26"/>
      <c r="G54" s="26"/>
      <c r="H54" s="26"/>
      <c r="I54" s="26"/>
      <c r="J54" s="26"/>
      <c r="K54" s="26"/>
      <c r="L54" s="26"/>
      <c r="Q54" s="16"/>
    </row>
    <row r="55" spans="1:17" x14ac:dyDescent="0.3">
      <c r="A55" s="4" t="s">
        <v>14</v>
      </c>
      <c r="B55" s="5">
        <f t="shared" ref="B55:E55" si="112">+B47</f>
        <v>113.018</v>
      </c>
      <c r="C55" s="5">
        <f t="shared" si="112"/>
        <v>122.044</v>
      </c>
      <c r="D55" s="5">
        <f t="shared" si="112"/>
        <v>128.214</v>
      </c>
      <c r="E55" s="5">
        <f t="shared" si="112"/>
        <v>134.59399999999999</v>
      </c>
      <c r="F55" s="26"/>
      <c r="G55" s="26"/>
      <c r="H55" s="26"/>
      <c r="I55" s="26"/>
      <c r="J55" s="26"/>
      <c r="K55" s="26"/>
      <c r="L55" s="26"/>
      <c r="Q55" s="16"/>
    </row>
    <row r="56" spans="1:17" x14ac:dyDescent="0.3">
      <c r="A56" s="4" t="s">
        <v>5</v>
      </c>
      <c r="B56" s="5">
        <f t="shared" ref="B56" si="113">+B54/B55</f>
        <v>1.0798633845936045</v>
      </c>
      <c r="C56" s="5">
        <f t="shared" ref="C56" si="114">+C54/C55</f>
        <v>1.0505555373471862</v>
      </c>
      <c r="D56" s="5">
        <f t="shared" ref="D56" si="115">+D54/D55</f>
        <v>1.0497605565694854</v>
      </c>
      <c r="E56" s="5">
        <f t="shared" ref="E56" si="116">+E54/E55</f>
        <v>1.0431742871153247</v>
      </c>
      <c r="F56" s="26"/>
      <c r="G56" s="26"/>
      <c r="H56" s="26"/>
      <c r="I56" s="26"/>
      <c r="J56" s="26"/>
      <c r="K56" s="26"/>
      <c r="L56" s="26"/>
    </row>
    <row r="57" spans="1:17" x14ac:dyDescent="0.3">
      <c r="A57" s="6" t="s">
        <v>25</v>
      </c>
      <c r="B57" s="7">
        <f t="shared" ref="B57" si="117">+B56*B52</f>
        <v>0</v>
      </c>
      <c r="C57" s="7">
        <f t="shared" ref="C57" si="118">+C56*C52</f>
        <v>0</v>
      </c>
      <c r="D57" s="7">
        <f t="shared" ref="D57" si="119">+D56*D52</f>
        <v>0</v>
      </c>
      <c r="E57" s="7">
        <f t="shared" ref="E57" si="120">+E56*E52</f>
        <v>0</v>
      </c>
      <c r="F57" s="27"/>
      <c r="G57" s="27"/>
      <c r="H57" s="27"/>
      <c r="I57" s="27"/>
      <c r="J57" s="27"/>
      <c r="K57" s="27"/>
      <c r="L57" s="27"/>
    </row>
    <row r="58" spans="1:17" x14ac:dyDescent="0.3">
      <c r="A58" s="6" t="s">
        <v>12</v>
      </c>
      <c r="B58" s="14">
        <f>+V4</f>
        <v>0</v>
      </c>
      <c r="C58" s="14">
        <f>+W6</f>
        <v>0</v>
      </c>
      <c r="D58" s="14">
        <f>+X8</f>
        <v>0</v>
      </c>
      <c r="E58" s="14">
        <f>+Y10</f>
        <v>0</v>
      </c>
      <c r="F58" s="28"/>
      <c r="G58" s="28"/>
      <c r="H58" s="28"/>
      <c r="I58" s="28"/>
      <c r="J58" s="28"/>
      <c r="K58" s="28"/>
      <c r="L58" s="28"/>
    </row>
    <row r="59" spans="1:17" x14ac:dyDescent="0.3">
      <c r="A59" s="8" t="s">
        <v>7</v>
      </c>
      <c r="B59" s="7">
        <f t="shared" ref="B59" si="121">+B57-B58</f>
        <v>0</v>
      </c>
      <c r="C59" s="7">
        <f t="shared" ref="C59" si="122">+C57-C58</f>
        <v>0</v>
      </c>
      <c r="D59" s="7">
        <f t="shared" ref="D59" si="123">+D57-D58</f>
        <v>0</v>
      </c>
      <c r="E59" s="7">
        <f t="shared" ref="E59" si="124">+E57-E58</f>
        <v>0</v>
      </c>
      <c r="F59" s="27"/>
      <c r="G59" s="27"/>
      <c r="H59" s="27"/>
      <c r="I59" s="27"/>
      <c r="J59" s="27"/>
      <c r="K59" s="27"/>
      <c r="L59" s="27"/>
    </row>
    <row r="60" spans="1:17" x14ac:dyDescent="0.3">
      <c r="A60" s="2" t="s">
        <v>26</v>
      </c>
      <c r="B60" s="9"/>
      <c r="C60" s="9"/>
      <c r="D60" s="9"/>
      <c r="E60" s="25"/>
      <c r="F60" s="25"/>
      <c r="G60" s="25"/>
      <c r="H60" s="25"/>
      <c r="I60" s="25"/>
      <c r="J60" s="25"/>
      <c r="K60" s="25"/>
      <c r="L60" s="25"/>
    </row>
    <row r="61" spans="1:17" x14ac:dyDescent="0.3">
      <c r="A61" s="4" t="s">
        <v>9</v>
      </c>
      <c r="B61" s="5">
        <v>128.214</v>
      </c>
      <c r="C61" s="5">
        <f t="shared" ref="C61:D61" si="125">+B68</f>
        <v>134.59399999999999</v>
      </c>
      <c r="D61" s="5">
        <f t="shared" si="125"/>
        <v>140.405</v>
      </c>
      <c r="E61" s="26"/>
      <c r="F61" s="26"/>
      <c r="G61" s="26"/>
      <c r="H61" s="26"/>
      <c r="I61" s="26"/>
      <c r="J61" s="26"/>
      <c r="K61" s="26"/>
      <c r="L61" s="26"/>
    </row>
    <row r="62" spans="1:17" x14ac:dyDescent="0.3">
      <c r="A62" s="4" t="s">
        <v>14</v>
      </c>
      <c r="B62" s="5">
        <f t="shared" ref="B62:D62" si="126">+B54</f>
        <v>122.044</v>
      </c>
      <c r="C62" s="5">
        <f t="shared" si="126"/>
        <v>128.214</v>
      </c>
      <c r="D62" s="5">
        <f t="shared" si="126"/>
        <v>134.59399999999999</v>
      </c>
      <c r="E62" s="26"/>
      <c r="F62" s="26"/>
      <c r="G62" s="26"/>
      <c r="H62" s="26"/>
      <c r="I62" s="26"/>
      <c r="J62" s="26"/>
      <c r="K62" s="26"/>
      <c r="L62" s="26"/>
    </row>
    <row r="63" spans="1:17" x14ac:dyDescent="0.3">
      <c r="A63" s="4" t="s">
        <v>5</v>
      </c>
      <c r="B63" s="5">
        <f t="shared" ref="B63" si="127">+B61/B62</f>
        <v>1.0505555373471862</v>
      </c>
      <c r="C63" s="5">
        <f t="shared" ref="C63" si="128">+C61/C62</f>
        <v>1.0497605565694854</v>
      </c>
      <c r="D63" s="5">
        <f t="shared" ref="D63" si="129">+D61/D62</f>
        <v>1.0431742871153247</v>
      </c>
      <c r="E63" s="26"/>
      <c r="F63" s="26"/>
      <c r="G63" s="26"/>
      <c r="H63" s="26"/>
      <c r="I63" s="26"/>
      <c r="J63" s="26"/>
      <c r="K63" s="26"/>
      <c r="L63" s="26"/>
    </row>
    <row r="64" spans="1:17" x14ac:dyDescent="0.3">
      <c r="A64" s="6" t="s">
        <v>27</v>
      </c>
      <c r="B64" s="7">
        <f t="shared" ref="B64" si="130">+B63*B59</f>
        <v>0</v>
      </c>
      <c r="C64" s="7">
        <f t="shared" ref="C64" si="131">+C63*C59</f>
        <v>0</v>
      </c>
      <c r="D64" s="7">
        <f t="shared" ref="D64" si="132">+D63*D59</f>
        <v>0</v>
      </c>
      <c r="E64" s="27"/>
      <c r="F64" s="27"/>
      <c r="G64" s="27"/>
      <c r="H64" s="27"/>
      <c r="I64" s="27"/>
      <c r="J64" s="27"/>
      <c r="K64" s="27"/>
      <c r="L64" s="27"/>
    </row>
    <row r="65" spans="1:12" x14ac:dyDescent="0.3">
      <c r="A65" s="6" t="s">
        <v>12</v>
      </c>
      <c r="B65" s="14">
        <f>+W4</f>
        <v>0</v>
      </c>
      <c r="C65" s="14">
        <f>+X6</f>
        <v>0</v>
      </c>
      <c r="D65" s="14">
        <f>+Y8</f>
        <v>0</v>
      </c>
      <c r="E65" s="28"/>
      <c r="F65" s="28"/>
      <c r="G65" s="28"/>
      <c r="H65" s="28"/>
      <c r="I65" s="28"/>
      <c r="J65" s="28"/>
      <c r="K65" s="28"/>
      <c r="L65" s="28"/>
    </row>
    <row r="66" spans="1:12" x14ac:dyDescent="0.3">
      <c r="A66" s="8" t="s">
        <v>7</v>
      </c>
      <c r="B66" s="7">
        <f t="shared" ref="B66" si="133">+B64-B65</f>
        <v>0</v>
      </c>
      <c r="C66" s="7">
        <f t="shared" ref="C66" si="134">+C64-C65</f>
        <v>0</v>
      </c>
      <c r="D66" s="7">
        <f t="shared" ref="D66" si="135">+D64-D65</f>
        <v>0</v>
      </c>
      <c r="E66" s="27"/>
      <c r="F66" s="27"/>
      <c r="G66" s="27"/>
      <c r="H66" s="27"/>
      <c r="I66" s="27"/>
      <c r="J66" s="27"/>
      <c r="K66" s="27"/>
      <c r="L66" s="27"/>
    </row>
    <row r="67" spans="1:12" x14ac:dyDescent="0.3">
      <c r="A67" s="2" t="s">
        <v>28</v>
      </c>
      <c r="B67" s="9"/>
      <c r="C67" s="9"/>
      <c r="D67" s="25"/>
      <c r="E67" s="25"/>
      <c r="F67" s="25"/>
      <c r="G67" s="25"/>
      <c r="H67" s="25"/>
      <c r="I67" s="25"/>
      <c r="J67" s="25"/>
      <c r="K67" s="25"/>
      <c r="L67" s="25"/>
    </row>
    <row r="68" spans="1:12" x14ac:dyDescent="0.3">
      <c r="A68" s="4" t="s">
        <v>9</v>
      </c>
      <c r="B68" s="5">
        <v>134.59399999999999</v>
      </c>
      <c r="C68" s="5">
        <f>+B75</f>
        <v>140.405</v>
      </c>
      <c r="D68" s="26"/>
      <c r="E68" s="26"/>
      <c r="F68" s="26"/>
      <c r="G68" s="26"/>
      <c r="H68" s="26"/>
      <c r="I68" s="26"/>
      <c r="J68" s="26"/>
      <c r="K68" s="26"/>
      <c r="L68" s="26"/>
    </row>
    <row r="69" spans="1:12" x14ac:dyDescent="0.3">
      <c r="A69" s="4" t="s">
        <v>14</v>
      </c>
      <c r="B69" s="5">
        <f t="shared" ref="B69:C69" si="136">+B61</f>
        <v>128.214</v>
      </c>
      <c r="C69" s="5">
        <f t="shared" si="136"/>
        <v>134.59399999999999</v>
      </c>
      <c r="D69" s="26"/>
      <c r="E69" s="26"/>
      <c r="F69" s="26"/>
      <c r="G69" s="26"/>
      <c r="H69" s="26"/>
      <c r="I69" s="26"/>
      <c r="J69" s="26"/>
      <c r="K69" s="26"/>
      <c r="L69" s="26"/>
    </row>
    <row r="70" spans="1:12" x14ac:dyDescent="0.3">
      <c r="A70" s="4" t="s">
        <v>5</v>
      </c>
      <c r="B70" s="5">
        <f t="shared" ref="B70" si="137">+B68/B69</f>
        <v>1.0497605565694854</v>
      </c>
      <c r="C70" s="5">
        <f t="shared" ref="C70" si="138">+C68/C69</f>
        <v>1.0431742871153247</v>
      </c>
      <c r="D70" s="26"/>
      <c r="E70" s="26"/>
      <c r="F70" s="26"/>
      <c r="G70" s="26"/>
      <c r="H70" s="26"/>
      <c r="I70" s="26"/>
      <c r="J70" s="26"/>
      <c r="K70" s="26"/>
      <c r="L70" s="26"/>
    </row>
    <row r="71" spans="1:12" x14ac:dyDescent="0.3">
      <c r="A71" s="6" t="s">
        <v>29</v>
      </c>
      <c r="B71" s="7">
        <f t="shared" ref="B71" si="139">+B70*B66</f>
        <v>0</v>
      </c>
      <c r="C71" s="7">
        <f t="shared" ref="C71" si="140">+C70*C66</f>
        <v>0</v>
      </c>
      <c r="D71" s="27"/>
      <c r="E71" s="27"/>
      <c r="F71" s="27"/>
      <c r="G71" s="27"/>
      <c r="H71" s="27"/>
      <c r="I71" s="27"/>
      <c r="J71" s="27"/>
      <c r="K71" s="27"/>
      <c r="L71" s="27"/>
    </row>
    <row r="72" spans="1:12" x14ac:dyDescent="0.3">
      <c r="A72" s="6" t="s">
        <v>12</v>
      </c>
      <c r="B72" s="14">
        <f>+X4</f>
        <v>0</v>
      </c>
      <c r="C72" s="14">
        <f>+Y6</f>
        <v>0</v>
      </c>
      <c r="D72" s="28"/>
      <c r="E72" s="28"/>
      <c r="F72" s="28"/>
      <c r="G72" s="28"/>
      <c r="H72" s="28"/>
      <c r="I72" s="28"/>
      <c r="J72" s="28"/>
      <c r="K72" s="28"/>
      <c r="L72" s="28"/>
    </row>
    <row r="73" spans="1:12" x14ac:dyDescent="0.3">
      <c r="A73" s="8" t="s">
        <v>7</v>
      </c>
      <c r="B73" s="7">
        <f t="shared" ref="B73" si="141">+B71-B72</f>
        <v>0</v>
      </c>
      <c r="C73" s="7">
        <f t="shared" ref="C73" si="142">+C71-C72</f>
        <v>0</v>
      </c>
      <c r="D73" s="27"/>
      <c r="E73" s="27"/>
      <c r="F73" s="27"/>
      <c r="G73" s="27"/>
      <c r="H73" s="27"/>
      <c r="I73" s="27"/>
      <c r="J73" s="27"/>
      <c r="K73" s="27"/>
      <c r="L73" s="27"/>
    </row>
    <row r="74" spans="1:12" x14ac:dyDescent="0.3">
      <c r="A74" s="2" t="s">
        <v>38</v>
      </c>
      <c r="B74" s="9"/>
      <c r="C74" s="25"/>
      <c r="D74" s="25"/>
      <c r="E74" s="25"/>
      <c r="F74" s="25"/>
      <c r="G74" s="25"/>
      <c r="H74" s="25"/>
      <c r="I74" s="25"/>
      <c r="J74" s="25"/>
      <c r="K74" s="25"/>
      <c r="L74" s="25"/>
    </row>
    <row r="75" spans="1:12" x14ac:dyDescent="0.3">
      <c r="A75" s="4" t="s">
        <v>9</v>
      </c>
      <c r="B75" s="5">
        <v>140.405</v>
      </c>
      <c r="C75" s="26"/>
      <c r="D75" s="26"/>
      <c r="E75" s="26"/>
      <c r="F75" s="26"/>
      <c r="G75" s="26"/>
      <c r="H75" s="26"/>
      <c r="I75" s="26"/>
      <c r="J75" s="26"/>
      <c r="K75" s="26"/>
      <c r="L75" s="26"/>
    </row>
    <row r="76" spans="1:12" x14ac:dyDescent="0.3">
      <c r="A76" s="4" t="s">
        <v>14</v>
      </c>
      <c r="B76" s="5">
        <f t="shared" ref="B76" si="143">+B68</f>
        <v>134.59399999999999</v>
      </c>
      <c r="C76" s="26"/>
      <c r="D76" s="26"/>
      <c r="E76" s="26"/>
      <c r="F76" s="26"/>
      <c r="G76" s="26"/>
      <c r="H76" s="26"/>
      <c r="I76" s="26"/>
      <c r="J76" s="26"/>
      <c r="K76" s="26"/>
      <c r="L76" s="26"/>
    </row>
    <row r="77" spans="1:12" x14ac:dyDescent="0.3">
      <c r="A77" s="4" t="s">
        <v>5</v>
      </c>
      <c r="B77" s="5">
        <f t="shared" ref="B77" si="144">+B75/B76</f>
        <v>1.0431742871153247</v>
      </c>
      <c r="C77" s="26"/>
      <c r="D77" s="26"/>
      <c r="E77" s="26"/>
      <c r="F77" s="26"/>
      <c r="G77" s="26"/>
      <c r="H77" s="26"/>
      <c r="I77" s="26"/>
      <c r="J77" s="26"/>
      <c r="K77" s="26"/>
      <c r="L77" s="26"/>
    </row>
    <row r="78" spans="1:12" x14ac:dyDescent="0.3">
      <c r="A78" s="6" t="s">
        <v>29</v>
      </c>
      <c r="B78" s="7">
        <f t="shared" ref="B78" si="145">+B77*B73</f>
        <v>0</v>
      </c>
      <c r="C78" s="27"/>
      <c r="D78" s="27"/>
      <c r="E78" s="27"/>
      <c r="F78" s="27"/>
      <c r="G78" s="27"/>
      <c r="H78" s="27"/>
      <c r="I78" s="27"/>
      <c r="J78" s="27"/>
      <c r="K78" s="27"/>
      <c r="L78" s="27"/>
    </row>
    <row r="79" spans="1:12" x14ac:dyDescent="0.3">
      <c r="A79" s="6" t="s">
        <v>12</v>
      </c>
      <c r="B79" s="14">
        <f>+Y4</f>
        <v>0</v>
      </c>
      <c r="C79" s="28"/>
      <c r="D79" s="28"/>
      <c r="E79" s="28"/>
      <c r="F79" s="28"/>
      <c r="G79" s="28"/>
      <c r="H79" s="28"/>
      <c r="I79" s="28"/>
      <c r="J79" s="28"/>
      <c r="K79" s="28"/>
      <c r="L79" s="28"/>
    </row>
    <row r="80" spans="1:12" x14ac:dyDescent="0.3">
      <c r="A80" s="8" t="s">
        <v>7</v>
      </c>
      <c r="B80" s="29">
        <f t="shared" ref="B80" si="146">+B78-B79</f>
        <v>0</v>
      </c>
      <c r="C80" s="30"/>
      <c r="D80" s="30"/>
      <c r="E80" s="30"/>
      <c r="F80" s="30"/>
      <c r="G80" s="30"/>
      <c r="H80" s="30"/>
      <c r="I80" s="30"/>
      <c r="J80" s="30"/>
      <c r="K80" s="30"/>
      <c r="L80" s="30"/>
    </row>
  </sheetData>
  <mergeCells count="2">
    <mergeCell ref="A1:L1"/>
    <mergeCell ref="N1:Y1"/>
  </mergeCells>
  <dataValidations count="1">
    <dataValidation type="list" allowBlank="1" showInputMessage="1" showErrorMessage="1" sqref="N28:N30 P31 Q32 T28:T30" xr:uid="{D5D6E85C-10BB-4940-AECB-68A78BEBC594}">
      <formula1>$N$4:$N$17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Salvador Bernardo Zaragoza Mendez</dc:creator>
  <cp:lastModifiedBy>CP Asesor</cp:lastModifiedBy>
  <dcterms:created xsi:type="dcterms:W3CDTF">2025-10-28T21:28:12Z</dcterms:created>
  <dcterms:modified xsi:type="dcterms:W3CDTF">2025-10-29T17:16:29Z</dcterms:modified>
</cp:coreProperties>
</file>